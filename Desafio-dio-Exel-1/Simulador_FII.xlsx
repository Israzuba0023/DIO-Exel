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enarios" sheetId="2" state="visible" r:id="rId4"/>
    <sheet name="Sim_FII" sheetId="3" state="visible" r:id="rId5"/>
    <sheet name="Sim_Poupanc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<sst xmlns="http://schemas.openxmlformats.org/spreadsheetml/2006/main" count="27" uniqueCount="21">
  <si>
    <t xml:space="preserve">SIMULADOR ULTRA PREMIUM - FII vs POUPANÇA</t>
  </si>
  <si>
    <t xml:space="preserve">Investimento Inicial</t>
  </si>
  <si>
    <t xml:space="preserve">Patrimônio Final FII</t>
  </si>
  <si>
    <t xml:space="preserve">Aporte Mensal</t>
  </si>
  <si>
    <t xml:space="preserve">Patrimônio Final Poupança</t>
  </si>
  <si>
    <t xml:space="preserve">Tempo (meses)</t>
  </si>
  <si>
    <t xml:space="preserve">ROI FII</t>
  </si>
  <si>
    <t xml:space="preserve">ROI Poupança</t>
  </si>
  <si>
    <t xml:space="preserve">Cenário FII</t>
  </si>
  <si>
    <t xml:space="preserve">Moderado</t>
  </si>
  <si>
    <t xml:space="preserve">CAGR FII</t>
  </si>
  <si>
    <t xml:space="preserve">CAGR Poupança</t>
  </si>
  <si>
    <t xml:space="preserve">Cenário</t>
  </si>
  <si>
    <t xml:space="preserve">Taxa FII (%)</t>
  </si>
  <si>
    <t xml:space="preserve">Conservador</t>
  </si>
  <si>
    <t xml:space="preserve">Agressivo</t>
  </si>
  <si>
    <t xml:space="preserve">Mês</t>
  </si>
  <si>
    <t xml:space="preserve">Saldo Inicial</t>
  </si>
  <si>
    <t xml:space="preserve">Aporte</t>
  </si>
  <si>
    <t xml:space="preserve">Rendimento</t>
  </si>
  <si>
    <t xml:space="preserve">Saldo Final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</si>
</sst>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Evolução Patrimonial FII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Sim_FII!E1</c:f>
              <c:strCache>
                <c:ptCount val="1"/>
                <c:pt idx="0">
                  <c:v>Saldo Final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Sim_FII!$A$2:$A$121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Sim_FII!$E$2:$E$121</c:f>
              <c:numCache>
                <c:formatCode>General</c:formatCode>
                <c:ptCount val="120"/>
                <c:pt idx="0">
                  <c:v>10580</c:v>
                </c:pt>
                <c:pt idx="1">
                  <c:v>11164.64</c:v>
                </c:pt>
                <c:pt idx="2">
                  <c:v>11753.95712</c:v>
                </c:pt>
                <c:pt idx="3">
                  <c:v>12347.98877696</c:v>
                </c:pt>
                <c:pt idx="4">
                  <c:v>12946.7726871757</c:v>
                </c:pt>
                <c:pt idx="5">
                  <c:v>13550.3468686731</c:v>
                </c:pt>
                <c:pt idx="6">
                  <c:v>14158.7496436225</c:v>
                </c:pt>
                <c:pt idx="7">
                  <c:v>14772.0196407715</c:v>
                </c:pt>
                <c:pt idx="8">
                  <c:v>15390.1957978976</c:v>
                </c:pt>
                <c:pt idx="9">
                  <c:v>16013.3173642808</c:v>
                </c:pt>
                <c:pt idx="10">
                  <c:v>16641.4239031951</c:v>
                </c:pt>
                <c:pt idx="11">
                  <c:v>17274.5552944206</c:v>
                </c:pt>
                <c:pt idx="12">
                  <c:v>17912.751736776</c:v>
                </c:pt>
                <c:pt idx="13">
                  <c:v>18556.0537506702</c:v>
                </c:pt>
                <c:pt idx="14">
                  <c:v>19204.5021806755</c:v>
                </c:pt>
                <c:pt idx="15">
                  <c:v>19858.138198121</c:v>
                </c:pt>
                <c:pt idx="16">
                  <c:v>20517.0033037059</c:v>
                </c:pt>
                <c:pt idx="17">
                  <c:v>21181.1393301356</c:v>
                </c:pt>
                <c:pt idx="18">
                  <c:v>21850.5884447767</c:v>
                </c:pt>
                <c:pt idx="19">
                  <c:v>22525.3931523349</c:v>
                </c:pt>
                <c:pt idx="20">
                  <c:v>23205.5962975535</c:v>
                </c:pt>
                <c:pt idx="21">
                  <c:v>23891.241067934</c:v>
                </c:pt>
                <c:pt idx="22">
                  <c:v>24582.3709964774</c:v>
                </c:pt>
                <c:pt idx="23">
                  <c:v>25279.0299644493</c:v>
                </c:pt>
                <c:pt idx="24">
                  <c:v>25981.2622041649</c:v>
                </c:pt>
                <c:pt idx="25">
                  <c:v>26689.1123017982</c:v>
                </c:pt>
                <c:pt idx="26">
                  <c:v>27402.6252002126</c:v>
                </c:pt>
                <c:pt idx="27">
                  <c:v>28121.8462018143</c:v>
                </c:pt>
                <c:pt idx="28">
                  <c:v>28846.8209714288</c:v>
                </c:pt>
                <c:pt idx="29">
                  <c:v>29577.5955392002</c:v>
                </c:pt>
                <c:pt idx="30">
                  <c:v>30314.2163035138</c:v>
                </c:pt>
                <c:pt idx="31">
                  <c:v>31056.7300339419</c:v>
                </c:pt>
                <c:pt idx="32">
                  <c:v>31805.1838742135</c:v>
                </c:pt>
                <c:pt idx="33">
                  <c:v>32559.6253452072</c:v>
                </c:pt>
                <c:pt idx="34">
                  <c:v>33320.1023479688</c:v>
                </c:pt>
                <c:pt idx="35">
                  <c:v>34086.6631667526</c:v>
                </c:pt>
                <c:pt idx="36">
                  <c:v>34859.3564720866</c:v>
                </c:pt>
                <c:pt idx="37">
                  <c:v>35638.2313238633</c:v>
                </c:pt>
                <c:pt idx="38">
                  <c:v>36423.3371744542</c:v>
                </c:pt>
                <c:pt idx="39">
                  <c:v>37214.7238718498</c:v>
                </c:pt>
                <c:pt idx="40">
                  <c:v>38012.4416628246</c:v>
                </c:pt>
                <c:pt idx="41">
                  <c:v>38816.5411961272</c:v>
                </c:pt>
                <c:pt idx="42">
                  <c:v>39627.0735256962</c:v>
                </c:pt>
                <c:pt idx="43">
                  <c:v>40444.0901139018</c:v>
                </c:pt>
                <c:pt idx="44">
                  <c:v>41267.642834813</c:v>
                </c:pt>
                <c:pt idx="45">
                  <c:v>42097.7839774915</c:v>
                </c:pt>
                <c:pt idx="46">
                  <c:v>42934.5662493115</c:v>
                </c:pt>
                <c:pt idx="47">
                  <c:v>43778.042779306</c:v>
                </c:pt>
                <c:pt idx="48">
                  <c:v>44628.2671215404</c:v>
                </c:pt>
                <c:pt idx="49">
                  <c:v>45485.2932585127</c:v>
                </c:pt>
                <c:pt idx="50">
                  <c:v>46349.1756045808</c:v>
                </c:pt>
                <c:pt idx="51">
                  <c:v>47219.9690094175</c:v>
                </c:pt>
                <c:pt idx="52">
                  <c:v>48097.7287614928</c:v>
                </c:pt>
                <c:pt idx="53">
                  <c:v>48982.5105915848</c:v>
                </c:pt>
                <c:pt idx="54">
                  <c:v>49874.3706763174</c:v>
                </c:pt>
                <c:pt idx="55">
                  <c:v>50773.365641728</c:v>
                </c:pt>
                <c:pt idx="56">
                  <c:v>51679.5525668618</c:v>
                </c:pt>
                <c:pt idx="57">
                  <c:v>52592.9889873967</c:v>
                </c:pt>
                <c:pt idx="58">
                  <c:v>53513.7328992959</c:v>
                </c:pt>
                <c:pt idx="59">
                  <c:v>54441.8427624902</c:v>
                </c:pt>
                <c:pt idx="60">
                  <c:v>55377.3775045902</c:v>
                </c:pt>
                <c:pt idx="61">
                  <c:v>56320.3965246269</c:v>
                </c:pt>
                <c:pt idx="62">
                  <c:v>57270.9596968239</c:v>
                </c:pt>
                <c:pt idx="63">
                  <c:v>58229.1273743985</c:v>
                </c:pt>
                <c:pt idx="64">
                  <c:v>59194.9603933937</c:v>
                </c:pt>
                <c:pt idx="65">
                  <c:v>60168.5200765408</c:v>
                </c:pt>
                <c:pt idx="66">
                  <c:v>61149.8682371532</c:v>
                </c:pt>
                <c:pt idx="67">
                  <c:v>62139.0671830504</c:v>
                </c:pt>
                <c:pt idx="68">
                  <c:v>63136.1797205148</c:v>
                </c:pt>
                <c:pt idx="69">
                  <c:v>64141.2691582789</c:v>
                </c:pt>
                <c:pt idx="70">
                  <c:v>65154.3993115451</c:v>
                </c:pt>
                <c:pt idx="71">
                  <c:v>66175.6345060375</c:v>
                </c:pt>
                <c:pt idx="72">
                  <c:v>67205.0395820858</c:v>
                </c:pt>
                <c:pt idx="73">
                  <c:v>68242.6798987425</c:v>
                </c:pt>
                <c:pt idx="74">
                  <c:v>69288.6213379324</c:v>
                </c:pt>
                <c:pt idx="75">
                  <c:v>70342.9303086359</c:v>
                </c:pt>
                <c:pt idx="76">
                  <c:v>71405.6737511049</c:v>
                </c:pt>
                <c:pt idx="77">
                  <c:v>72476.9191411138</c:v>
                </c:pt>
                <c:pt idx="78">
                  <c:v>73556.7344942427</c:v>
                </c:pt>
                <c:pt idx="79">
                  <c:v>74645.1883701966</c:v>
                </c:pt>
                <c:pt idx="80">
                  <c:v>75742.3498771582</c:v>
                </c:pt>
                <c:pt idx="81">
                  <c:v>76848.2886761755</c:v>
                </c:pt>
                <c:pt idx="82">
                  <c:v>77963.0749855849</c:v>
                </c:pt>
                <c:pt idx="83">
                  <c:v>79086.7795854696</c:v>
                </c:pt>
                <c:pt idx="84">
                  <c:v>80219.4738221533</c:v>
                </c:pt>
                <c:pt idx="85">
                  <c:v>81361.2296127306</c:v>
                </c:pt>
                <c:pt idx="86">
                  <c:v>82512.1194496324</c:v>
                </c:pt>
                <c:pt idx="87">
                  <c:v>83672.2164052295</c:v>
                </c:pt>
                <c:pt idx="88">
                  <c:v>84841.5941364713</c:v>
                </c:pt>
                <c:pt idx="89">
                  <c:v>86020.3268895631</c:v>
                </c:pt>
                <c:pt idx="90">
                  <c:v>87208.4895046796</c:v>
                </c:pt>
                <c:pt idx="91">
                  <c:v>88406.157420717</c:v>
                </c:pt>
                <c:pt idx="92">
                  <c:v>89613.4066800828</c:v>
                </c:pt>
                <c:pt idx="93">
                  <c:v>90830.3139335234</c:v>
                </c:pt>
                <c:pt idx="94">
                  <c:v>92056.9564449916</c:v>
                </c:pt>
                <c:pt idx="95">
                  <c:v>93293.4120965516</c:v>
                </c:pt>
                <c:pt idx="96">
                  <c:v>94539.759393324</c:v>
                </c:pt>
                <c:pt idx="97">
                  <c:v>95796.0774684706</c:v>
                </c:pt>
                <c:pt idx="98">
                  <c:v>97062.4460882183</c:v>
                </c:pt>
                <c:pt idx="99">
                  <c:v>98338.9456569241</c:v>
                </c:pt>
                <c:pt idx="100">
                  <c:v>99625.6572221795</c:v>
                </c:pt>
                <c:pt idx="101">
                  <c:v>100922.662479957</c:v>
                </c:pt>
                <c:pt idx="102">
                  <c:v>102230.043779797</c:v>
                </c:pt>
                <c:pt idx="103">
                  <c:v>103547.884130035</c:v>
                </c:pt>
                <c:pt idx="104">
                  <c:v>104876.267203075</c:v>
                </c:pt>
                <c:pt idx="105">
                  <c:v>106215.2773407</c:v>
                </c:pt>
                <c:pt idx="106">
                  <c:v>107564.999559425</c:v>
                </c:pt>
                <c:pt idx="107">
                  <c:v>108925.519555901</c:v>
                </c:pt>
                <c:pt idx="108">
                  <c:v>110296.923712348</c:v>
                </c:pt>
                <c:pt idx="109">
                  <c:v>111679.299102047</c:v>
                </c:pt>
                <c:pt idx="110">
                  <c:v>113072.733494863</c:v>
                </c:pt>
                <c:pt idx="111">
                  <c:v>114477.315362822</c:v>
                </c:pt>
                <c:pt idx="112">
                  <c:v>115893.133885725</c:v>
                </c:pt>
                <c:pt idx="113">
                  <c:v>117320.27895681</c:v>
                </c:pt>
                <c:pt idx="114">
                  <c:v>118758.841188465</c:v>
                </c:pt>
                <c:pt idx="115">
                  <c:v>120208.911917973</c:v>
                </c:pt>
                <c:pt idx="116">
                  <c:v>121670.583213316</c:v>
                </c:pt>
                <c:pt idx="117">
                  <c:v>123143.947879023</c:v>
                </c:pt>
                <c:pt idx="118">
                  <c:v>124629.099462055</c:v>
                </c:pt>
                <c:pt idx="119">
                  <c:v>126126.132257752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896636"/>
        <c:axId val="25159881"/>
      </c:lineChart>
      <c:catAx>
        <c:axId val="358966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159881"/>
        <c:crosses val="autoZero"/>
        <c:auto val="1"/>
        <c:lblAlgn val="ctr"/>
        <c:lblOffset val="100"/>
        <c:noMultiLvlLbl val="0"/>
      </c:catAx>
      <c:valAx>
        <c:axId val="251598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89663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Evolução Patrimonial Poupança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Sim_Poupanca!E1</c:f>
              <c:strCache>
                <c:ptCount val="1"/>
                <c:pt idx="0">
                  <c:v>Saldo Final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Sim_Poupanca!$A$2:$A$121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Sim_Poupanca!$E$2:$E$121</c:f>
              <c:numCache>
                <c:formatCode>General</c:formatCode>
                <c:ptCount val="120"/>
                <c:pt idx="0">
                  <c:v>10550</c:v>
                </c:pt>
                <c:pt idx="1">
                  <c:v>11102.75</c:v>
                </c:pt>
                <c:pt idx="2">
                  <c:v>11658.26375</c:v>
                </c:pt>
                <c:pt idx="3">
                  <c:v>12216.55506875</c:v>
                </c:pt>
                <c:pt idx="4">
                  <c:v>12777.6378440938</c:v>
                </c:pt>
                <c:pt idx="5">
                  <c:v>13341.5260333142</c:v>
                </c:pt>
                <c:pt idx="6">
                  <c:v>13908.2336634808</c:v>
                </c:pt>
                <c:pt idx="7">
                  <c:v>14477.7748317982</c:v>
                </c:pt>
                <c:pt idx="8">
                  <c:v>15050.1637059572</c:v>
                </c:pt>
                <c:pt idx="9">
                  <c:v>15625.414524487</c:v>
                </c:pt>
                <c:pt idx="10">
                  <c:v>16203.5415971094</c:v>
                </c:pt>
                <c:pt idx="11">
                  <c:v>16784.559305095</c:v>
                </c:pt>
                <c:pt idx="12">
                  <c:v>17368.4821016204</c:v>
                </c:pt>
                <c:pt idx="13">
                  <c:v>17955.3245121285</c:v>
                </c:pt>
                <c:pt idx="14">
                  <c:v>18545.1011346892</c:v>
                </c:pt>
                <c:pt idx="15">
                  <c:v>19137.8266403626</c:v>
                </c:pt>
                <c:pt idx="16">
                  <c:v>19733.5157735644</c:v>
                </c:pt>
                <c:pt idx="17">
                  <c:v>20332.1833524323</c:v>
                </c:pt>
                <c:pt idx="18">
                  <c:v>20933.8442691944</c:v>
                </c:pt>
                <c:pt idx="19">
                  <c:v>21538.5134905404</c:v>
                </c:pt>
                <c:pt idx="20">
                  <c:v>22146.2060579931</c:v>
                </c:pt>
                <c:pt idx="21">
                  <c:v>22756.9370882831</c:v>
                </c:pt>
                <c:pt idx="22">
                  <c:v>23370.7217737245</c:v>
                </c:pt>
                <c:pt idx="23">
                  <c:v>23987.5753825931</c:v>
                </c:pt>
                <c:pt idx="24">
                  <c:v>24607.5132595061</c:v>
                </c:pt>
                <c:pt idx="25">
                  <c:v>25230.5508258036</c:v>
                </c:pt>
                <c:pt idx="26">
                  <c:v>25856.7035799326</c:v>
                </c:pt>
                <c:pt idx="27">
                  <c:v>26485.9870978323</c:v>
                </c:pt>
                <c:pt idx="28">
                  <c:v>27118.4170333214</c:v>
                </c:pt>
                <c:pt idx="29">
                  <c:v>27754.009118488</c:v>
                </c:pt>
                <c:pt idx="30">
                  <c:v>28392.7791640805</c:v>
                </c:pt>
                <c:pt idx="31">
                  <c:v>29034.7430599009</c:v>
                </c:pt>
                <c:pt idx="32">
                  <c:v>29679.9167752004</c:v>
                </c:pt>
                <c:pt idx="33">
                  <c:v>30328.3163590764</c:v>
                </c:pt>
                <c:pt idx="34">
                  <c:v>30979.9579408718</c:v>
                </c:pt>
                <c:pt idx="35">
                  <c:v>31634.8577305761</c:v>
                </c:pt>
                <c:pt idx="36">
                  <c:v>32293.032019229</c:v>
                </c:pt>
                <c:pt idx="37">
                  <c:v>32954.4971793252</c:v>
                </c:pt>
                <c:pt idx="38">
                  <c:v>33619.2696652218</c:v>
                </c:pt>
                <c:pt idx="39">
                  <c:v>34287.3660135479</c:v>
                </c:pt>
                <c:pt idx="40">
                  <c:v>34958.8028436156</c:v>
                </c:pt>
                <c:pt idx="41">
                  <c:v>35633.5968578337</c:v>
                </c:pt>
                <c:pt idx="42">
                  <c:v>36311.7648421229</c:v>
                </c:pt>
                <c:pt idx="43">
                  <c:v>36993.3236663335</c:v>
                </c:pt>
                <c:pt idx="44">
                  <c:v>37678.2902846652</c:v>
                </c:pt>
                <c:pt idx="45">
                  <c:v>38366.6817360885</c:v>
                </c:pt>
                <c:pt idx="46">
                  <c:v>39058.5151447689</c:v>
                </c:pt>
                <c:pt idx="47">
                  <c:v>39753.8077204928</c:v>
                </c:pt>
                <c:pt idx="48">
                  <c:v>40452.5767590952</c:v>
                </c:pt>
                <c:pt idx="49">
                  <c:v>41154.8396428907</c:v>
                </c:pt>
                <c:pt idx="50">
                  <c:v>41860.6138411052</c:v>
                </c:pt>
                <c:pt idx="51">
                  <c:v>42569.9169103107</c:v>
                </c:pt>
                <c:pt idx="52">
                  <c:v>43282.7664948622</c:v>
                </c:pt>
                <c:pt idx="53">
                  <c:v>43999.1803273365</c:v>
                </c:pt>
                <c:pt idx="54">
                  <c:v>44719.1762289732</c:v>
                </c:pt>
                <c:pt idx="55">
                  <c:v>45442.7721101181</c:v>
                </c:pt>
                <c:pt idx="56">
                  <c:v>46169.9859706687</c:v>
                </c:pt>
                <c:pt idx="57">
                  <c:v>46900.835900522</c:v>
                </c:pt>
                <c:pt idx="58">
                  <c:v>47635.3400800246</c:v>
                </c:pt>
                <c:pt idx="59">
                  <c:v>48373.5167804248</c:v>
                </c:pt>
                <c:pt idx="60">
                  <c:v>49115.3843643269</c:v>
                </c:pt>
                <c:pt idx="61">
                  <c:v>49860.9612861485</c:v>
                </c:pt>
                <c:pt idx="62">
                  <c:v>50610.2660925793</c:v>
                </c:pt>
                <c:pt idx="63">
                  <c:v>51363.3174230422</c:v>
                </c:pt>
                <c:pt idx="64">
                  <c:v>52120.1340101574</c:v>
                </c:pt>
                <c:pt idx="65">
                  <c:v>52880.7346802082</c:v>
                </c:pt>
                <c:pt idx="66">
                  <c:v>53645.1383536092</c:v>
                </c:pt>
                <c:pt idx="67">
                  <c:v>54413.3640453772</c:v>
                </c:pt>
                <c:pt idx="68">
                  <c:v>55185.4308656041</c:v>
                </c:pt>
                <c:pt idx="69">
                  <c:v>55961.3580199322</c:v>
                </c:pt>
                <c:pt idx="70">
                  <c:v>56741.1648100318</c:v>
                </c:pt>
                <c:pt idx="71">
                  <c:v>57524.870634082</c:v>
                </c:pt>
                <c:pt idx="72">
                  <c:v>58312.4949872524</c:v>
                </c:pt>
                <c:pt idx="73">
                  <c:v>59104.0574621886</c:v>
                </c:pt>
                <c:pt idx="74">
                  <c:v>59899.5777494996</c:v>
                </c:pt>
                <c:pt idx="75">
                  <c:v>60699.0756382471</c:v>
                </c:pt>
                <c:pt idx="76">
                  <c:v>61502.5710164383</c:v>
                </c:pt>
                <c:pt idx="77">
                  <c:v>62310.0838715205</c:v>
                </c:pt>
                <c:pt idx="78">
                  <c:v>63121.6342908781</c:v>
                </c:pt>
                <c:pt idx="79">
                  <c:v>63937.2424623325</c:v>
                </c:pt>
                <c:pt idx="80">
                  <c:v>64756.9286746442</c:v>
                </c:pt>
                <c:pt idx="81">
                  <c:v>65580.7133180174</c:v>
                </c:pt>
                <c:pt idx="82">
                  <c:v>66408.6168846075</c:v>
                </c:pt>
                <c:pt idx="83">
                  <c:v>67240.6599690305</c:v>
                </c:pt>
                <c:pt idx="84">
                  <c:v>68076.8632688757</c:v>
                </c:pt>
                <c:pt idx="85">
                  <c:v>68917.24758522</c:v>
                </c:pt>
                <c:pt idx="86">
                  <c:v>69761.8338231461</c:v>
                </c:pt>
                <c:pt idx="87">
                  <c:v>70610.6429922619</c:v>
                </c:pt>
                <c:pt idx="88">
                  <c:v>71463.6962072232</c:v>
                </c:pt>
                <c:pt idx="89">
                  <c:v>72321.0146882593</c:v>
                </c:pt>
                <c:pt idx="90">
                  <c:v>73182.6197617006</c:v>
                </c:pt>
                <c:pt idx="91">
                  <c:v>74048.5328605091</c:v>
                </c:pt>
                <c:pt idx="92">
                  <c:v>74918.7755248116</c:v>
                </c:pt>
                <c:pt idx="93">
                  <c:v>75793.3694024357</c:v>
                </c:pt>
                <c:pt idx="94">
                  <c:v>76672.3362494479</c:v>
                </c:pt>
                <c:pt idx="95">
                  <c:v>77555.6979306951</c:v>
                </c:pt>
                <c:pt idx="96">
                  <c:v>78443.4764203486</c:v>
                </c:pt>
                <c:pt idx="97">
                  <c:v>79335.6938024504</c:v>
                </c:pt>
                <c:pt idx="98">
                  <c:v>80232.3722714626</c:v>
                </c:pt>
                <c:pt idx="99">
                  <c:v>81133.5341328199</c:v>
                </c:pt>
                <c:pt idx="100">
                  <c:v>82039.201803484</c:v>
                </c:pt>
                <c:pt idx="101">
                  <c:v>82949.3978125014</c:v>
                </c:pt>
                <c:pt idx="102">
                  <c:v>83864.144801564</c:v>
                </c:pt>
                <c:pt idx="103">
                  <c:v>84783.4655255718</c:v>
                </c:pt>
                <c:pt idx="104">
                  <c:v>85707.3828531996</c:v>
                </c:pt>
                <c:pt idx="105">
                  <c:v>86635.9197674656</c:v>
                </c:pt>
                <c:pt idx="106">
                  <c:v>87569.099366303</c:v>
                </c:pt>
                <c:pt idx="107">
                  <c:v>88506.9448631345</c:v>
                </c:pt>
                <c:pt idx="108">
                  <c:v>89449.4795874501</c:v>
                </c:pt>
                <c:pt idx="109">
                  <c:v>90396.7269853874</c:v>
                </c:pt>
                <c:pt idx="110">
                  <c:v>91348.7106203143</c:v>
                </c:pt>
                <c:pt idx="111">
                  <c:v>92305.4541734159</c:v>
                </c:pt>
                <c:pt idx="112">
                  <c:v>93266.981444283</c:v>
                </c:pt>
                <c:pt idx="113">
                  <c:v>94233.3163515044</c:v>
                </c:pt>
                <c:pt idx="114">
                  <c:v>95204.4829332619</c:v>
                </c:pt>
                <c:pt idx="115">
                  <c:v>96180.5053479282</c:v>
                </c:pt>
                <c:pt idx="116">
                  <c:v>97161.4078746679</c:v>
                </c:pt>
                <c:pt idx="117">
                  <c:v>98147.2149140412</c:v>
                </c:pt>
                <c:pt idx="118">
                  <c:v>99137.9509886114</c:v>
                </c:pt>
                <c:pt idx="119">
                  <c:v>100133.640743554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358540"/>
        <c:axId val="2104655"/>
      </c:lineChart>
      <c:catAx>
        <c:axId val="843585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04655"/>
        <c:crosses val="autoZero"/>
        <c:auto val="1"/>
        <c:lblAlgn val="ctr"/>
        <c:lblOffset val="100"/>
        <c:noMultiLvlLbl val="0"/>
      </c:catAx>
      <c:valAx>
        <c:axId val="2104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3585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Comparação Patrimônio Final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Dashboard!$E$3:$E$4</c:f>
              <c:numCache>
                <c:formatCode>General</c:formatCode>
                <c:ptCount val="2"/>
                <c:pt idx="0">
                  <c:v>126126.132257752</c:v>
                </c:pt>
                <c:pt idx="1">
                  <c:v>100133.640743554</c:v>
                </c:pt>
              </c:numCache>
            </c:numRef>
          </c:val>
        </c:ser>
        <c:gapWidth val="150"/>
        <c:overlap val="0"/>
        <c:axId val="16473837"/>
        <c:axId val="34326655"/>
      </c:barChart>
      <c:catAx>
        <c:axId val="164738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326655"/>
        <c:crosses val="autoZero"/>
        <c:auto val="1"/>
        <c:lblAlgn val="ctr"/>
        <c:lblOffset val="100"/>
        <c:noMultiLvlLbl val="0"/>
      </c:catAx>
      <c:valAx>
        <c:axId val="34326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4738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Comparação ROI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Dashboard!$E$5:$E$6</c:f>
              <c:numCache>
                <c:formatCode>General</c:formatCode>
                <c:ptCount val="2"/>
                <c:pt idx="0">
                  <c:v>1.65894474653931</c:v>
                </c:pt>
                <c:pt idx="1">
                  <c:v>1.28762343919364</c:v>
                </c:pt>
              </c:numCache>
            </c:numRef>
          </c:val>
        </c:ser>
        <c:gapWidth val="150"/>
        <c:overlap val="0"/>
        <c:axId val="7245731"/>
        <c:axId val="48999430"/>
      </c:barChart>
      <c:catAx>
        <c:axId val="72457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999430"/>
        <c:crosses val="autoZero"/>
        <c:auto val="1"/>
        <c:lblAlgn val="ctr"/>
        <c:lblOffset val="100"/>
        <c:noMultiLvlLbl val="0"/>
      </c:catAx>
      <c:valAx>
        <c:axId val="48999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457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Comparação CAGR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Dashboard!$E$7:$E$8</c:f>
              <c:numCache>
                <c:formatCode>General</c:formatCode>
                <c:ptCount val="2"/>
                <c:pt idx="0">
                  <c:v>0.288488384457201</c:v>
                </c:pt>
                <c:pt idx="1">
                  <c:v>0.259093554428857</c:v>
                </c:pt>
              </c:numCache>
            </c:numRef>
          </c:val>
        </c:ser>
        <c:gapWidth val="150"/>
        <c:overlap val="0"/>
        <c:axId val="25986823"/>
        <c:axId val="54275514"/>
      </c:barChart>
      <c:catAx>
        <c:axId val="259868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275514"/>
        <c:crosses val="autoZero"/>
        <c:auto val="1"/>
        <c:lblAlgn val="ctr"/>
        <c:lblOffset val="100"/>
        <c:noMultiLvlLbl val="0"/>
      </c:catAx>
      <c:valAx>
        <c:axId val="542755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9868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Distribuição Patrimonial Final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val>
            <c:numRef>
              <c:f>Dashboard!$E$3:$E$4</c:f>
              <c:numCache>
                <c:formatCode>General</c:formatCode>
                <c:ptCount val="2"/>
                <c:pt idx="0">
                  <c:v>126126.132257752</c:v>
                </c:pt>
                <c:pt idx="1">
                  <c:v>100133.640743554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131040</xdr:rowOff>
    </xdr:from>
    <xdr:to>
      <xdr:col>3</xdr:col>
      <xdr:colOff>1078560</xdr:colOff>
      <xdr:row>22</xdr:row>
      <xdr:rowOff>163440</xdr:rowOff>
    </xdr:to>
    <xdr:graphicFrame>
      <xdr:nvGraphicFramePr>
        <xdr:cNvPr id="1" name="Chart 1"/>
        <xdr:cNvGraphicFramePr/>
      </xdr:nvGraphicFramePr>
      <xdr:xfrm>
        <a:off x="0" y="171468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50</xdr:row>
      <xdr:rowOff>127080</xdr:rowOff>
    </xdr:from>
    <xdr:to>
      <xdr:col>3</xdr:col>
      <xdr:colOff>1078560</xdr:colOff>
      <xdr:row>64</xdr:row>
      <xdr:rowOff>159480</xdr:rowOff>
    </xdr:to>
    <xdr:graphicFrame>
      <xdr:nvGraphicFramePr>
        <xdr:cNvPr id="2" name="Chart 2"/>
        <xdr:cNvGraphicFramePr/>
      </xdr:nvGraphicFramePr>
      <xdr:xfrm>
        <a:off x="0" y="971172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160200</xdr:rowOff>
    </xdr:from>
    <xdr:to>
      <xdr:col>3</xdr:col>
      <xdr:colOff>1078560</xdr:colOff>
      <xdr:row>37</xdr:row>
      <xdr:rowOff>1800</xdr:rowOff>
    </xdr:to>
    <xdr:graphicFrame>
      <xdr:nvGraphicFramePr>
        <xdr:cNvPr id="3" name="Chart 3"/>
        <xdr:cNvGraphicFramePr/>
      </xdr:nvGraphicFramePr>
      <xdr:xfrm>
        <a:off x="0" y="441072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65</xdr:row>
      <xdr:rowOff>3600</xdr:rowOff>
    </xdr:from>
    <xdr:to>
      <xdr:col>3</xdr:col>
      <xdr:colOff>1078560</xdr:colOff>
      <xdr:row>79</xdr:row>
      <xdr:rowOff>36000</xdr:rowOff>
    </xdr:to>
    <xdr:graphicFrame>
      <xdr:nvGraphicFramePr>
        <xdr:cNvPr id="4" name="Chart 4"/>
        <xdr:cNvGraphicFramePr/>
      </xdr:nvGraphicFramePr>
      <xdr:xfrm>
        <a:off x="0" y="1244592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169200</xdr:rowOff>
    </xdr:from>
    <xdr:to>
      <xdr:col>3</xdr:col>
      <xdr:colOff>1078560</xdr:colOff>
      <xdr:row>51</xdr:row>
      <xdr:rowOff>11160</xdr:rowOff>
    </xdr:to>
    <xdr:graphicFrame>
      <xdr:nvGraphicFramePr>
        <xdr:cNvPr id="5" name="Chart 5"/>
        <xdr:cNvGraphicFramePr/>
      </xdr:nvGraphicFramePr>
      <xdr:xfrm>
        <a:off x="0" y="708696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34920</xdr:colOff>
      <xdr:row>79</xdr:row>
      <xdr:rowOff>78120</xdr:rowOff>
    </xdr:from>
    <xdr:to>
      <xdr:col>3</xdr:col>
      <xdr:colOff>1068840</xdr:colOff>
      <xdr:row>93</xdr:row>
      <xdr:rowOff>88200</xdr:rowOff>
    </xdr:to>
    <xdr:graphicFrame>
      <xdr:nvGraphicFramePr>
        <xdr:cNvPr id="6" name="Chart 6"/>
        <xdr:cNvGraphicFramePr/>
      </xdr:nvGraphicFramePr>
      <xdr:xfrm rot="21543000">
        <a:off x="34920" y="15187320"/>
        <a:ext cx="5354640" cy="267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E92" activeCellId="0" sqref="E9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9" min="1" style="1" width="18"/>
  </cols>
  <sheetData>
    <row r="1" customFormat="false" ht="19.7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  <c r="B3" s="1" t="n">
        <v>10000</v>
      </c>
      <c r="D3" s="3" t="s">
        <v>2</v>
      </c>
      <c r="E3" s="1" t="n">
        <f aca="false">Sim_FII!E121</f>
        <v>126126.132257752</v>
      </c>
    </row>
    <row r="4" customFormat="false" ht="15" hidden="false" customHeight="false" outlineLevel="0" collapsed="false">
      <c r="A4" s="3" t="s">
        <v>3</v>
      </c>
      <c r="B4" s="1" t="n">
        <v>500</v>
      </c>
      <c r="D4" s="3" t="s">
        <v>4</v>
      </c>
      <c r="E4" s="1" t="n">
        <f aca="false">Sim_Poupanca!E121</f>
        <v>100133.640743554</v>
      </c>
    </row>
    <row r="5" customFormat="false" ht="15" hidden="false" customHeight="false" outlineLevel="0" collapsed="false">
      <c r="A5" s="3" t="s">
        <v>5</v>
      </c>
      <c r="B5" s="1" t="n">
        <v>120</v>
      </c>
      <c r="D5" s="3" t="s">
        <v>6</v>
      </c>
      <c r="E5" s="1" t="n">
        <f aca="false">(E3-B3)/(B3+(B4*B5))</f>
        <v>1.65894474653931</v>
      </c>
    </row>
    <row r="6" customFormat="false" ht="15" hidden="false" customHeight="false" outlineLevel="0" collapsed="false">
      <c r="D6" s="3" t="s">
        <v>7</v>
      </c>
      <c r="E6" s="1" t="n">
        <f aca="false">(E4-B3)/(B3+(B4*B5))</f>
        <v>1.28762343919364</v>
      </c>
    </row>
    <row r="7" customFormat="false" ht="15" hidden="false" customHeight="false" outlineLevel="0" collapsed="false">
      <c r="A7" s="3" t="s">
        <v>8</v>
      </c>
      <c r="B7" s="4" t="s">
        <v>9</v>
      </c>
      <c r="D7" s="3" t="s">
        <v>10</v>
      </c>
      <c r="E7" s="1" t="n">
        <f aca="false">(E3/B3)^(12/B5)-1</f>
        <v>0.288488384457201</v>
      </c>
    </row>
    <row r="8" customFormat="false" ht="15" hidden="false" customHeight="false" outlineLevel="0" collapsed="false">
      <c r="D8" s="3" t="s">
        <v>11</v>
      </c>
      <c r="E8" s="1" t="n">
        <f aca="false">(E4/B3)^(12/B5)-1</f>
        <v>0.259093554428857</v>
      </c>
    </row>
  </sheetData>
  <dataValidations count="1">
    <dataValidation allowBlank="false" errorStyle="stop" operator="between" showDropDown="false" showErrorMessage="false" showInputMessage="false" sqref="B7" type="list">
      <formula1>Cenarios!A2:A4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9" min="1" style="1" width="18"/>
  </cols>
  <sheetData>
    <row r="1" customFormat="false" ht="15" hidden="false" customHeight="false" outlineLevel="0" collapsed="false">
      <c r="A1" s="3" t="s">
        <v>12</v>
      </c>
      <c r="B1" s="3" t="s">
        <v>13</v>
      </c>
    </row>
    <row r="2" customFormat="false" ht="15" hidden="false" customHeight="false" outlineLevel="0" collapsed="false">
      <c r="A2" s="1" t="s">
        <v>14</v>
      </c>
      <c r="B2" s="1" t="n">
        <v>0.5</v>
      </c>
    </row>
    <row r="3" customFormat="false" ht="15" hidden="false" customHeight="false" outlineLevel="0" collapsed="false">
      <c r="A3" s="1" t="s">
        <v>9</v>
      </c>
      <c r="B3" s="1" t="n">
        <v>0.8</v>
      </c>
    </row>
    <row r="4" customFormat="false" ht="15" hidden="false" customHeight="false" outlineLevel="0" collapsed="false">
      <c r="A4" s="1" t="s">
        <v>15</v>
      </c>
      <c r="B4" s="1" t="n">
        <v>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9" min="1" style="1" width="18"/>
  </cols>
  <sheetData>
    <row r="1" customFormat="false" ht="15" hidden="false" customHeight="false" outlineLevel="0" collapsed="false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customFormat="false" ht="15" hidden="false" customHeight="false" outlineLevel="0" collapsed="false">
      <c r="A2" s="1" t="n">
        <v>1</v>
      </c>
      <c r="B2" s="1" t="n">
        <f aca="false">Dashboard!B3</f>
        <v>10000</v>
      </c>
      <c r="C2" s="1" t="n">
        <f aca="false">Dashboard!B4</f>
        <v>500</v>
      </c>
      <c r="D2" s="1" t="n">
        <f aca="false">B2*(VLOOKUP(Dashboard!B7,Cenarios!A2:B4,2,FALSE())/100)</f>
        <v>80</v>
      </c>
      <c r="E2" s="1" t="n">
        <f aca="false">B2+C2+D2</f>
        <v>10580</v>
      </c>
    </row>
    <row r="3" customFormat="false" ht="15" hidden="false" customHeight="false" outlineLevel="0" collapsed="false">
      <c r="A3" s="1" t="n">
        <f aca="false">A2+1</f>
        <v>2</v>
      </c>
      <c r="B3" s="1" t="n">
        <f aca="false">E2</f>
        <v>10580</v>
      </c>
      <c r="C3" s="1" t="n">
        <f aca="false">Dashboard!B4</f>
        <v>500</v>
      </c>
      <c r="D3" s="1" t="n">
        <f aca="false">B3*(VLOOKUP(Dashboard!B7,Cenarios!A2:B4,2,FALSE())/100)</f>
        <v>84.64</v>
      </c>
      <c r="E3" s="1" t="n">
        <f aca="false">B3+C3+D3</f>
        <v>11164.64</v>
      </c>
    </row>
    <row r="4" customFormat="false" ht="15" hidden="false" customHeight="false" outlineLevel="0" collapsed="false">
      <c r="A4" s="1" t="n">
        <f aca="false">A3+1</f>
        <v>3</v>
      </c>
      <c r="B4" s="1" t="n">
        <f aca="false">E3</f>
        <v>11164.64</v>
      </c>
      <c r="C4" s="1" t="n">
        <f aca="false">Dashboard!B4</f>
        <v>500</v>
      </c>
      <c r="D4" s="1" t="n">
        <f aca="false">B4*(VLOOKUP(Dashboard!B7,Cenarios!A2:B4,2,FALSE())/100)</f>
        <v>89.31712</v>
      </c>
      <c r="E4" s="1" t="n">
        <f aca="false">B4+C4+D4</f>
        <v>11753.95712</v>
      </c>
    </row>
    <row r="5" customFormat="false" ht="15" hidden="false" customHeight="false" outlineLevel="0" collapsed="false">
      <c r="A5" s="1" t="n">
        <f aca="false">A4+1</f>
        <v>4</v>
      </c>
      <c r="B5" s="1" t="n">
        <f aca="false">E4</f>
        <v>11753.95712</v>
      </c>
      <c r="C5" s="1" t="n">
        <f aca="false">Dashboard!B4</f>
        <v>500</v>
      </c>
      <c r="D5" s="1" t="n">
        <f aca="false">B5*(VLOOKUP(Dashboard!B7,Cenarios!A2:B4,2,FALSE())/100)</f>
        <v>94.03165696</v>
      </c>
      <c r="E5" s="1" t="n">
        <f aca="false">B5+C5+D5</f>
        <v>12347.98877696</v>
      </c>
    </row>
    <row r="6" customFormat="false" ht="15" hidden="false" customHeight="false" outlineLevel="0" collapsed="false">
      <c r="A6" s="1" t="n">
        <f aca="false">A5+1</f>
        <v>5</v>
      </c>
      <c r="B6" s="1" t="n">
        <f aca="false">E5</f>
        <v>12347.98877696</v>
      </c>
      <c r="C6" s="1" t="n">
        <f aca="false">Dashboard!B4</f>
        <v>500</v>
      </c>
      <c r="D6" s="1" t="n">
        <f aca="false">B6*(VLOOKUP(Dashboard!B7,Cenarios!A2:B4,2,FALSE())/100)</f>
        <v>98.78391021568</v>
      </c>
      <c r="E6" s="1" t="n">
        <f aca="false">B6+C6+D6</f>
        <v>12946.7726871757</v>
      </c>
    </row>
    <row r="7" customFormat="false" ht="15" hidden="false" customHeight="false" outlineLevel="0" collapsed="false">
      <c r="A7" s="1" t="n">
        <f aca="false">A6+1</f>
        <v>6</v>
      </c>
      <c r="B7" s="1" t="n">
        <f aca="false">E6</f>
        <v>12946.7726871757</v>
      </c>
      <c r="C7" s="1" t="n">
        <f aca="false">Dashboard!B4</f>
        <v>500</v>
      </c>
      <c r="D7" s="1" t="n">
        <f aca="false">B7*(VLOOKUP(Dashboard!B7,Cenarios!A2:B4,2,FALSE())/100)</f>
        <v>103.574181497405</v>
      </c>
      <c r="E7" s="1" t="n">
        <f aca="false">B7+C7+D7</f>
        <v>13550.3468686731</v>
      </c>
    </row>
    <row r="8" customFormat="false" ht="15" hidden="false" customHeight="false" outlineLevel="0" collapsed="false">
      <c r="A8" s="1" t="n">
        <f aca="false">A7+1</f>
        <v>7</v>
      </c>
      <c r="B8" s="1" t="n">
        <f aca="false">E7</f>
        <v>13550.3468686731</v>
      </c>
      <c r="C8" s="1" t="n">
        <f aca="false">Dashboard!B4</f>
        <v>500</v>
      </c>
      <c r="D8" s="1" t="n">
        <f aca="false">B8*(VLOOKUP(Dashboard!B7,Cenarios!A2:B4,2,FALSE())/100)</f>
        <v>108.402774949385</v>
      </c>
      <c r="E8" s="1" t="n">
        <f aca="false">B8+C8+D8</f>
        <v>14158.7496436225</v>
      </c>
    </row>
    <row r="9" customFormat="false" ht="15" hidden="false" customHeight="false" outlineLevel="0" collapsed="false">
      <c r="A9" s="1" t="n">
        <f aca="false">A8+1</f>
        <v>8</v>
      </c>
      <c r="B9" s="1" t="n">
        <f aca="false">E8</f>
        <v>14158.7496436225</v>
      </c>
      <c r="C9" s="1" t="n">
        <f aca="false">Dashboard!B4</f>
        <v>500</v>
      </c>
      <c r="D9" s="1" t="n">
        <f aca="false">B9*(VLOOKUP(Dashboard!B7,Cenarios!A2:B4,2,FALSE())/100)</f>
        <v>113.26999714898</v>
      </c>
      <c r="E9" s="1" t="n">
        <f aca="false">B9+C9+D9</f>
        <v>14772.0196407715</v>
      </c>
    </row>
    <row r="10" customFormat="false" ht="15" hidden="false" customHeight="false" outlineLevel="0" collapsed="false">
      <c r="A10" s="1" t="n">
        <f aca="false">A9+1</f>
        <v>9</v>
      </c>
      <c r="B10" s="1" t="n">
        <f aca="false">E9</f>
        <v>14772.0196407715</v>
      </c>
      <c r="C10" s="1" t="n">
        <f aca="false">Dashboard!B4</f>
        <v>500</v>
      </c>
      <c r="D10" s="1" t="n">
        <f aca="false">B10*(VLOOKUP(Dashboard!B7,Cenarios!A2:B4,2,FALSE())/100)</f>
        <v>118.176157126172</v>
      </c>
      <c r="E10" s="1" t="n">
        <f aca="false">B10+C10+D10</f>
        <v>15390.1957978976</v>
      </c>
    </row>
    <row r="11" customFormat="false" ht="15" hidden="false" customHeight="false" outlineLevel="0" collapsed="false">
      <c r="A11" s="1" t="n">
        <f aca="false">A10+1</f>
        <v>10</v>
      </c>
      <c r="B11" s="1" t="n">
        <f aca="false">E10</f>
        <v>15390.1957978976</v>
      </c>
      <c r="C11" s="1" t="n">
        <f aca="false">Dashboard!B4</f>
        <v>500</v>
      </c>
      <c r="D11" s="1" t="n">
        <f aca="false">B11*(VLOOKUP(Dashboard!B7,Cenarios!A2:B4,2,FALSE())/100)</f>
        <v>123.121566383181</v>
      </c>
      <c r="E11" s="1" t="n">
        <f aca="false">B11+C11+D11</f>
        <v>16013.3173642808</v>
      </c>
    </row>
    <row r="12" customFormat="false" ht="15" hidden="false" customHeight="false" outlineLevel="0" collapsed="false">
      <c r="A12" s="1" t="n">
        <f aca="false">A11+1</f>
        <v>11</v>
      </c>
      <c r="B12" s="1" t="n">
        <f aca="false">E11</f>
        <v>16013.3173642808</v>
      </c>
      <c r="C12" s="1" t="n">
        <f aca="false">Dashboard!B4</f>
        <v>500</v>
      </c>
      <c r="D12" s="1" t="n">
        <f aca="false">B12*(VLOOKUP(Dashboard!B7,Cenarios!A2:B4,2,FALSE())/100)</f>
        <v>128.106538914246</v>
      </c>
      <c r="E12" s="1" t="n">
        <f aca="false">B12+C12+D12</f>
        <v>16641.4239031951</v>
      </c>
    </row>
    <row r="13" customFormat="false" ht="15" hidden="false" customHeight="false" outlineLevel="0" collapsed="false">
      <c r="A13" s="1" t="n">
        <f aca="false">A12+1</f>
        <v>12</v>
      </c>
      <c r="B13" s="1" t="n">
        <f aca="false">E12</f>
        <v>16641.4239031951</v>
      </c>
      <c r="C13" s="1" t="n">
        <f aca="false">Dashboard!B4</f>
        <v>500</v>
      </c>
      <c r="D13" s="1" t="n">
        <f aca="false">B13*(VLOOKUP(Dashboard!B7,Cenarios!A2:B4,2,FALSE())/100)</f>
        <v>133.13139122556</v>
      </c>
      <c r="E13" s="1" t="n">
        <f aca="false">B13+C13+D13</f>
        <v>17274.5552944206</v>
      </c>
    </row>
    <row r="14" customFormat="false" ht="15" hidden="false" customHeight="false" outlineLevel="0" collapsed="false">
      <c r="A14" s="1" t="n">
        <f aca="false">A13+1</f>
        <v>13</v>
      </c>
      <c r="B14" s="1" t="n">
        <f aca="false">E13</f>
        <v>17274.5552944206</v>
      </c>
      <c r="C14" s="1" t="n">
        <f aca="false">Dashboard!B4</f>
        <v>500</v>
      </c>
      <c r="D14" s="1" t="n">
        <f aca="false">B14*(VLOOKUP(Dashboard!B7,Cenarios!A2:B4,2,FALSE())/100)</f>
        <v>138.196442355365</v>
      </c>
      <c r="E14" s="1" t="n">
        <f aca="false">B14+C14+D14</f>
        <v>17912.751736776</v>
      </c>
    </row>
    <row r="15" customFormat="false" ht="15" hidden="false" customHeight="false" outlineLevel="0" collapsed="false">
      <c r="A15" s="1" t="n">
        <f aca="false">A14+1</f>
        <v>14</v>
      </c>
      <c r="B15" s="1" t="n">
        <f aca="false">E14</f>
        <v>17912.751736776</v>
      </c>
      <c r="C15" s="1" t="n">
        <f aca="false">Dashboard!B4</f>
        <v>500</v>
      </c>
      <c r="D15" s="1" t="n">
        <f aca="false">B15*(VLOOKUP(Dashboard!B7,Cenarios!A2:B4,2,FALSE())/100)</f>
        <v>143.302013894208</v>
      </c>
      <c r="E15" s="1" t="n">
        <f aca="false">B15+C15+D15</f>
        <v>18556.0537506702</v>
      </c>
    </row>
    <row r="16" customFormat="false" ht="15" hidden="false" customHeight="false" outlineLevel="0" collapsed="false">
      <c r="A16" s="1" t="n">
        <f aca="false">A15+1</f>
        <v>15</v>
      </c>
      <c r="B16" s="1" t="n">
        <f aca="false">E15</f>
        <v>18556.0537506702</v>
      </c>
      <c r="C16" s="1" t="n">
        <f aca="false">Dashboard!B4</f>
        <v>500</v>
      </c>
      <c r="D16" s="1" t="n">
        <f aca="false">B16*(VLOOKUP(Dashboard!B7,Cenarios!A2:B4,2,FALSE())/100)</f>
        <v>148.448430005361</v>
      </c>
      <c r="E16" s="1" t="n">
        <f aca="false">B16+C16+D16</f>
        <v>19204.5021806755</v>
      </c>
    </row>
    <row r="17" customFormat="false" ht="15" hidden="false" customHeight="false" outlineLevel="0" collapsed="false">
      <c r="A17" s="1" t="n">
        <f aca="false">A16+1</f>
        <v>16</v>
      </c>
      <c r="B17" s="1" t="n">
        <f aca="false">E16</f>
        <v>19204.5021806755</v>
      </c>
      <c r="C17" s="1" t="n">
        <f aca="false">Dashboard!B4</f>
        <v>500</v>
      </c>
      <c r="D17" s="1" t="n">
        <f aca="false">B17*(VLOOKUP(Dashboard!B7,Cenarios!A2:B4,2,FALSE())/100)</f>
        <v>153.636017445404</v>
      </c>
      <c r="E17" s="1" t="n">
        <f aca="false">B17+C17+D17</f>
        <v>19858.138198121</v>
      </c>
    </row>
    <row r="18" customFormat="false" ht="15" hidden="false" customHeight="false" outlineLevel="0" collapsed="false">
      <c r="A18" s="1" t="n">
        <f aca="false">A17+1</f>
        <v>17</v>
      </c>
      <c r="B18" s="1" t="n">
        <f aca="false">E17</f>
        <v>19858.138198121</v>
      </c>
      <c r="C18" s="1" t="n">
        <f aca="false">Dashboard!B4</f>
        <v>500</v>
      </c>
      <c r="D18" s="1" t="n">
        <f aca="false">B18*(VLOOKUP(Dashboard!B7,Cenarios!A2:B4,2,FALSE())/100)</f>
        <v>158.865105584968</v>
      </c>
      <c r="E18" s="1" t="n">
        <f aca="false">B18+C18+D18</f>
        <v>20517.0033037059</v>
      </c>
    </row>
    <row r="19" customFormat="false" ht="15" hidden="false" customHeight="false" outlineLevel="0" collapsed="false">
      <c r="A19" s="1" t="n">
        <f aca="false">A18+1</f>
        <v>18</v>
      </c>
      <c r="B19" s="1" t="n">
        <f aca="false">E18</f>
        <v>20517.0033037059</v>
      </c>
      <c r="C19" s="1" t="n">
        <f aca="false">Dashboard!B4</f>
        <v>500</v>
      </c>
      <c r="D19" s="1" t="n">
        <f aca="false">B19*(VLOOKUP(Dashboard!B7,Cenarios!A2:B4,2,FALSE())/100)</f>
        <v>164.136026429647</v>
      </c>
      <c r="E19" s="1" t="n">
        <f aca="false">B19+C19+D19</f>
        <v>21181.1393301356</v>
      </c>
    </row>
    <row r="20" customFormat="false" ht="15" hidden="false" customHeight="false" outlineLevel="0" collapsed="false">
      <c r="A20" s="1" t="n">
        <f aca="false">A19+1</f>
        <v>19</v>
      </c>
      <c r="B20" s="1" t="n">
        <f aca="false">E19</f>
        <v>21181.1393301356</v>
      </c>
      <c r="C20" s="1" t="n">
        <f aca="false">Dashboard!B4</f>
        <v>500</v>
      </c>
      <c r="D20" s="1" t="n">
        <f aca="false">B20*(VLOOKUP(Dashboard!B7,Cenarios!A2:B4,2,FALSE())/100)</f>
        <v>169.449114641085</v>
      </c>
      <c r="E20" s="1" t="n">
        <f aca="false">B20+C20+D20</f>
        <v>21850.5884447767</v>
      </c>
    </row>
    <row r="21" customFormat="false" ht="15" hidden="false" customHeight="false" outlineLevel="0" collapsed="false">
      <c r="A21" s="1" t="n">
        <f aca="false">A20+1</f>
        <v>20</v>
      </c>
      <c r="B21" s="1" t="n">
        <f aca="false">E20</f>
        <v>21850.5884447767</v>
      </c>
      <c r="C21" s="1" t="n">
        <f aca="false">Dashboard!B4</f>
        <v>500</v>
      </c>
      <c r="D21" s="1" t="n">
        <f aca="false">B21*(VLOOKUP(Dashboard!B7,Cenarios!A2:B4,2,FALSE())/100)</f>
        <v>174.804707558213</v>
      </c>
      <c r="E21" s="1" t="n">
        <f aca="false">B21+C21+D21</f>
        <v>22525.3931523349</v>
      </c>
    </row>
    <row r="22" customFormat="false" ht="15" hidden="false" customHeight="false" outlineLevel="0" collapsed="false">
      <c r="A22" s="1" t="n">
        <f aca="false">A21+1</f>
        <v>21</v>
      </c>
      <c r="B22" s="1" t="n">
        <f aca="false">E21</f>
        <v>22525.3931523349</v>
      </c>
      <c r="C22" s="1" t="n">
        <f aca="false">Dashboard!B4</f>
        <v>500</v>
      </c>
      <c r="D22" s="1" t="n">
        <f aca="false">B22*(VLOOKUP(Dashboard!B7,Cenarios!A2:B4,2,FALSE())/100)</f>
        <v>180.203145218679</v>
      </c>
      <c r="E22" s="1" t="n">
        <f aca="false">B22+C22+D22</f>
        <v>23205.5962975535</v>
      </c>
    </row>
    <row r="23" customFormat="false" ht="15" hidden="false" customHeight="false" outlineLevel="0" collapsed="false">
      <c r="A23" s="1" t="n">
        <f aca="false">A22+1</f>
        <v>22</v>
      </c>
      <c r="B23" s="1" t="n">
        <f aca="false">E22</f>
        <v>23205.5962975535</v>
      </c>
      <c r="C23" s="1" t="n">
        <f aca="false">Dashboard!B4</f>
        <v>500</v>
      </c>
      <c r="D23" s="1" t="n">
        <f aca="false">B23*(VLOOKUP(Dashboard!B7,Cenarios!A2:B4,2,FALSE())/100)</f>
        <v>185.644770380428</v>
      </c>
      <c r="E23" s="1" t="n">
        <f aca="false">B23+C23+D23</f>
        <v>23891.241067934</v>
      </c>
    </row>
    <row r="24" customFormat="false" ht="15" hidden="false" customHeight="false" outlineLevel="0" collapsed="false">
      <c r="A24" s="1" t="n">
        <f aca="false">A23+1</f>
        <v>23</v>
      </c>
      <c r="B24" s="1" t="n">
        <f aca="false">E23</f>
        <v>23891.241067934</v>
      </c>
      <c r="C24" s="1" t="n">
        <f aca="false">Dashboard!B4</f>
        <v>500</v>
      </c>
      <c r="D24" s="1" t="n">
        <f aca="false">B24*(VLOOKUP(Dashboard!B7,Cenarios!A2:B4,2,FALSE())/100)</f>
        <v>191.129928543472</v>
      </c>
      <c r="E24" s="1" t="n">
        <f aca="false">B24+C24+D24</f>
        <v>24582.3709964774</v>
      </c>
    </row>
    <row r="25" customFormat="false" ht="15" hidden="false" customHeight="false" outlineLevel="0" collapsed="false">
      <c r="A25" s="1" t="n">
        <f aca="false">A24+1</f>
        <v>24</v>
      </c>
      <c r="B25" s="1" t="n">
        <f aca="false">E24</f>
        <v>24582.3709964774</v>
      </c>
      <c r="C25" s="1" t="n">
        <f aca="false">Dashboard!B4</f>
        <v>500</v>
      </c>
      <c r="D25" s="1" t="n">
        <f aca="false">B25*(VLOOKUP(Dashboard!B7,Cenarios!A2:B4,2,FALSE())/100)</f>
        <v>196.65896797182</v>
      </c>
      <c r="E25" s="1" t="n">
        <f aca="false">B25+C25+D25</f>
        <v>25279.0299644493</v>
      </c>
    </row>
    <row r="26" customFormat="false" ht="15" hidden="false" customHeight="false" outlineLevel="0" collapsed="false">
      <c r="A26" s="1" t="n">
        <f aca="false">A25+1</f>
        <v>25</v>
      </c>
      <c r="B26" s="1" t="n">
        <f aca="false">E25</f>
        <v>25279.0299644493</v>
      </c>
      <c r="C26" s="1" t="n">
        <f aca="false">Dashboard!B4</f>
        <v>500</v>
      </c>
      <c r="D26" s="1" t="n">
        <f aca="false">B26*(VLOOKUP(Dashboard!B7,Cenarios!A2:B4,2,FALSE())/100)</f>
        <v>202.232239715594</v>
      </c>
      <c r="E26" s="1" t="n">
        <f aca="false">B26+C26+D26</f>
        <v>25981.2622041649</v>
      </c>
    </row>
    <row r="27" customFormat="false" ht="15" hidden="false" customHeight="false" outlineLevel="0" collapsed="false">
      <c r="A27" s="1" t="n">
        <f aca="false">A26+1</f>
        <v>26</v>
      </c>
      <c r="B27" s="1" t="n">
        <f aca="false">E26</f>
        <v>25981.2622041649</v>
      </c>
      <c r="C27" s="1" t="n">
        <f aca="false">Dashboard!B4</f>
        <v>500</v>
      </c>
      <c r="D27" s="1" t="n">
        <f aca="false">B27*(VLOOKUP(Dashboard!B7,Cenarios!A2:B4,2,FALSE())/100)</f>
        <v>207.850097633319</v>
      </c>
      <c r="E27" s="1" t="n">
        <f aca="false">B27+C27+D27</f>
        <v>26689.1123017982</v>
      </c>
    </row>
    <row r="28" customFormat="false" ht="15" hidden="false" customHeight="false" outlineLevel="0" collapsed="false">
      <c r="A28" s="1" t="n">
        <f aca="false">A27+1</f>
        <v>27</v>
      </c>
      <c r="B28" s="1" t="n">
        <f aca="false">E27</f>
        <v>26689.1123017982</v>
      </c>
      <c r="C28" s="1" t="n">
        <f aca="false">Dashboard!B4</f>
        <v>500</v>
      </c>
      <c r="D28" s="1" t="n">
        <f aca="false">B28*(VLOOKUP(Dashboard!B7,Cenarios!A2:B4,2,FALSE())/100)</f>
        <v>213.512898414385</v>
      </c>
      <c r="E28" s="1" t="n">
        <f aca="false">B28+C28+D28</f>
        <v>27402.6252002126</v>
      </c>
    </row>
    <row r="29" customFormat="false" ht="15" hidden="false" customHeight="false" outlineLevel="0" collapsed="false">
      <c r="A29" s="1" t="n">
        <f aca="false">A28+1</f>
        <v>28</v>
      </c>
      <c r="B29" s="1" t="n">
        <f aca="false">E28</f>
        <v>27402.6252002126</v>
      </c>
      <c r="C29" s="1" t="n">
        <f aca="false">Dashboard!B4</f>
        <v>500</v>
      </c>
      <c r="D29" s="1" t="n">
        <f aca="false">B29*(VLOOKUP(Dashboard!B7,Cenarios!A2:B4,2,FALSE())/100)</f>
        <v>219.221001601701</v>
      </c>
      <c r="E29" s="1" t="n">
        <f aca="false">B29+C29+D29</f>
        <v>28121.8462018143</v>
      </c>
    </row>
    <row r="30" customFormat="false" ht="15" hidden="false" customHeight="false" outlineLevel="0" collapsed="false">
      <c r="A30" s="1" t="n">
        <f aca="false">A29+1</f>
        <v>29</v>
      </c>
      <c r="B30" s="1" t="n">
        <f aca="false">E29</f>
        <v>28121.8462018143</v>
      </c>
      <c r="C30" s="1" t="n">
        <f aca="false">Dashboard!B4</f>
        <v>500</v>
      </c>
      <c r="D30" s="1" t="n">
        <f aca="false">B30*(VLOOKUP(Dashboard!B7,Cenarios!A2:B4,2,FALSE())/100)</f>
        <v>224.974769614514</v>
      </c>
      <c r="E30" s="1" t="n">
        <f aca="false">B30+C30+D30</f>
        <v>28846.8209714288</v>
      </c>
    </row>
    <row r="31" customFormat="false" ht="15" hidden="false" customHeight="false" outlineLevel="0" collapsed="false">
      <c r="A31" s="1" t="n">
        <f aca="false">A30+1</f>
        <v>30</v>
      </c>
      <c r="B31" s="1" t="n">
        <f aca="false">E30</f>
        <v>28846.8209714288</v>
      </c>
      <c r="C31" s="1" t="n">
        <f aca="false">Dashboard!B4</f>
        <v>500</v>
      </c>
      <c r="D31" s="1" t="n">
        <f aca="false">B31*(VLOOKUP(Dashboard!B7,Cenarios!A2:B4,2,FALSE())/100)</f>
        <v>230.77456777143</v>
      </c>
      <c r="E31" s="1" t="n">
        <f aca="false">B31+C31+D31</f>
        <v>29577.5955392002</v>
      </c>
    </row>
    <row r="32" customFormat="false" ht="15" hidden="false" customHeight="false" outlineLevel="0" collapsed="false">
      <c r="A32" s="1" t="n">
        <f aca="false">A31+1</f>
        <v>31</v>
      </c>
      <c r="B32" s="1" t="n">
        <f aca="false">E31</f>
        <v>29577.5955392002</v>
      </c>
      <c r="C32" s="1" t="n">
        <f aca="false">Dashboard!B4</f>
        <v>500</v>
      </c>
      <c r="D32" s="1" t="n">
        <f aca="false">B32*(VLOOKUP(Dashboard!B7,Cenarios!A2:B4,2,FALSE())/100)</f>
        <v>236.620764313602</v>
      </c>
      <c r="E32" s="1" t="n">
        <f aca="false">B32+C32+D32</f>
        <v>30314.2163035138</v>
      </c>
    </row>
    <row r="33" customFormat="false" ht="15" hidden="false" customHeight="false" outlineLevel="0" collapsed="false">
      <c r="A33" s="1" t="n">
        <f aca="false">A32+1</f>
        <v>32</v>
      </c>
      <c r="B33" s="1" t="n">
        <f aca="false">E32</f>
        <v>30314.2163035138</v>
      </c>
      <c r="C33" s="1" t="n">
        <f aca="false">Dashboard!B4</f>
        <v>500</v>
      </c>
      <c r="D33" s="1" t="n">
        <f aca="false">B33*(VLOOKUP(Dashboard!B7,Cenarios!A2:B4,2,FALSE())/100)</f>
        <v>242.513730428111</v>
      </c>
      <c r="E33" s="1" t="n">
        <f aca="false">B33+C33+D33</f>
        <v>31056.7300339419</v>
      </c>
    </row>
    <row r="34" customFormat="false" ht="15" hidden="false" customHeight="false" outlineLevel="0" collapsed="false">
      <c r="A34" s="1" t="n">
        <f aca="false">A33+1</f>
        <v>33</v>
      </c>
      <c r="B34" s="1" t="n">
        <f aca="false">E33</f>
        <v>31056.7300339419</v>
      </c>
      <c r="C34" s="1" t="n">
        <f aca="false">Dashboard!B4</f>
        <v>500</v>
      </c>
      <c r="D34" s="1" t="n">
        <f aca="false">B34*(VLOOKUP(Dashboard!B7,Cenarios!A2:B4,2,FALSE())/100)</f>
        <v>248.453840271535</v>
      </c>
      <c r="E34" s="1" t="n">
        <f aca="false">B34+C34+D34</f>
        <v>31805.1838742135</v>
      </c>
    </row>
    <row r="35" customFormat="false" ht="15" hidden="false" customHeight="false" outlineLevel="0" collapsed="false">
      <c r="A35" s="1" t="n">
        <f aca="false">A34+1</f>
        <v>34</v>
      </c>
      <c r="B35" s="1" t="n">
        <f aca="false">E34</f>
        <v>31805.1838742135</v>
      </c>
      <c r="C35" s="1" t="n">
        <f aca="false">Dashboard!B4</f>
        <v>500</v>
      </c>
      <c r="D35" s="1" t="n">
        <f aca="false">B35*(VLOOKUP(Dashboard!B7,Cenarios!A2:B4,2,FALSE())/100)</f>
        <v>254.441470993708</v>
      </c>
      <c r="E35" s="1" t="n">
        <f aca="false">B35+C35+D35</f>
        <v>32559.6253452072</v>
      </c>
    </row>
    <row r="36" customFormat="false" ht="15" hidden="false" customHeight="false" outlineLevel="0" collapsed="false">
      <c r="A36" s="1" t="n">
        <f aca="false">A35+1</f>
        <v>35</v>
      </c>
      <c r="B36" s="1" t="n">
        <f aca="false">E35</f>
        <v>32559.6253452072</v>
      </c>
      <c r="C36" s="1" t="n">
        <f aca="false">Dashboard!B4</f>
        <v>500</v>
      </c>
      <c r="D36" s="1" t="n">
        <f aca="false">B36*(VLOOKUP(Dashboard!B7,Cenarios!A2:B4,2,FALSE())/100)</f>
        <v>260.477002761657</v>
      </c>
      <c r="E36" s="1" t="n">
        <f aca="false">B36+C36+D36</f>
        <v>33320.1023479688</v>
      </c>
    </row>
    <row r="37" customFormat="false" ht="15" hidden="false" customHeight="false" outlineLevel="0" collapsed="false">
      <c r="A37" s="1" t="n">
        <f aca="false">A36+1</f>
        <v>36</v>
      </c>
      <c r="B37" s="1" t="n">
        <f aca="false">E36</f>
        <v>33320.1023479688</v>
      </c>
      <c r="C37" s="1" t="n">
        <f aca="false">Dashboard!B4</f>
        <v>500</v>
      </c>
      <c r="D37" s="1" t="n">
        <f aca="false">B37*(VLOOKUP(Dashboard!B7,Cenarios!A2:B4,2,FALSE())/100)</f>
        <v>266.560818783751</v>
      </c>
      <c r="E37" s="1" t="n">
        <f aca="false">B37+C37+D37</f>
        <v>34086.6631667526</v>
      </c>
    </row>
    <row r="38" customFormat="false" ht="15" hidden="false" customHeight="false" outlineLevel="0" collapsed="false">
      <c r="A38" s="1" t="n">
        <f aca="false">A37+1</f>
        <v>37</v>
      </c>
      <c r="B38" s="1" t="n">
        <f aca="false">E37</f>
        <v>34086.6631667526</v>
      </c>
      <c r="C38" s="1" t="n">
        <f aca="false">Dashboard!B4</f>
        <v>500</v>
      </c>
      <c r="D38" s="1" t="n">
        <f aca="false">B38*(VLOOKUP(Dashboard!B7,Cenarios!A2:B4,2,FALSE())/100)</f>
        <v>272.693305334021</v>
      </c>
      <c r="E38" s="1" t="n">
        <f aca="false">B38+C38+D38</f>
        <v>34859.3564720866</v>
      </c>
    </row>
    <row r="39" customFormat="false" ht="15" hidden="false" customHeight="false" outlineLevel="0" collapsed="false">
      <c r="A39" s="1" t="n">
        <f aca="false">A38+1</f>
        <v>38</v>
      </c>
      <c r="B39" s="1" t="n">
        <f aca="false">E38</f>
        <v>34859.3564720866</v>
      </c>
      <c r="C39" s="1" t="n">
        <f aca="false">Dashboard!B4</f>
        <v>500</v>
      </c>
      <c r="D39" s="1" t="n">
        <f aca="false">B39*(VLOOKUP(Dashboard!B7,Cenarios!A2:B4,2,FALSE())/100)</f>
        <v>278.874851776693</v>
      </c>
      <c r="E39" s="1" t="n">
        <f aca="false">B39+C39+D39</f>
        <v>35638.2313238633</v>
      </c>
    </row>
    <row r="40" customFormat="false" ht="15" hidden="false" customHeight="false" outlineLevel="0" collapsed="false">
      <c r="A40" s="1" t="n">
        <f aca="false">A39+1</f>
        <v>39</v>
      </c>
      <c r="B40" s="1" t="n">
        <f aca="false">E39</f>
        <v>35638.2313238633</v>
      </c>
      <c r="C40" s="1" t="n">
        <f aca="false">Dashboard!B4</f>
        <v>500</v>
      </c>
      <c r="D40" s="1" t="n">
        <f aca="false">B40*(VLOOKUP(Dashboard!B7,Cenarios!A2:B4,2,FALSE())/100)</f>
        <v>285.105850590906</v>
      </c>
      <c r="E40" s="1" t="n">
        <f aca="false">B40+C40+D40</f>
        <v>36423.3371744542</v>
      </c>
    </row>
    <row r="41" customFormat="false" ht="15" hidden="false" customHeight="false" outlineLevel="0" collapsed="false">
      <c r="A41" s="1" t="n">
        <f aca="false">A40+1</f>
        <v>40</v>
      </c>
      <c r="B41" s="1" t="n">
        <f aca="false">E40</f>
        <v>36423.3371744542</v>
      </c>
      <c r="C41" s="1" t="n">
        <f aca="false">Dashboard!B4</f>
        <v>500</v>
      </c>
      <c r="D41" s="1" t="n">
        <f aca="false">B41*(VLOOKUP(Dashboard!B7,Cenarios!A2:B4,2,FALSE())/100)</f>
        <v>291.386697395634</v>
      </c>
      <c r="E41" s="1" t="n">
        <f aca="false">B41+C41+D41</f>
        <v>37214.7238718498</v>
      </c>
    </row>
    <row r="42" customFormat="false" ht="15" hidden="false" customHeight="false" outlineLevel="0" collapsed="false">
      <c r="A42" s="1" t="n">
        <f aca="false">A41+1</f>
        <v>41</v>
      </c>
      <c r="B42" s="1" t="n">
        <f aca="false">E41</f>
        <v>37214.7238718498</v>
      </c>
      <c r="C42" s="1" t="n">
        <f aca="false">Dashboard!B4</f>
        <v>500</v>
      </c>
      <c r="D42" s="1" t="n">
        <f aca="false">B42*(VLOOKUP(Dashboard!B7,Cenarios!A2:B4,2,FALSE())/100)</f>
        <v>297.717790974799</v>
      </c>
      <c r="E42" s="1" t="n">
        <f aca="false">B42+C42+D42</f>
        <v>38012.4416628246</v>
      </c>
    </row>
    <row r="43" customFormat="false" ht="15" hidden="false" customHeight="false" outlineLevel="0" collapsed="false">
      <c r="A43" s="1" t="n">
        <f aca="false">A42+1</f>
        <v>42</v>
      </c>
      <c r="B43" s="1" t="n">
        <f aca="false">E42</f>
        <v>38012.4416628246</v>
      </c>
      <c r="C43" s="1" t="n">
        <f aca="false">Dashboard!B4</f>
        <v>500</v>
      </c>
      <c r="D43" s="1" t="n">
        <f aca="false">B43*(VLOOKUP(Dashboard!B7,Cenarios!A2:B4,2,FALSE())/100)</f>
        <v>304.099533302597</v>
      </c>
      <c r="E43" s="1" t="n">
        <f aca="false">B43+C43+D43</f>
        <v>38816.5411961272</v>
      </c>
    </row>
    <row r="44" customFormat="false" ht="15" hidden="false" customHeight="false" outlineLevel="0" collapsed="false">
      <c r="A44" s="1" t="n">
        <f aca="false">A43+1</f>
        <v>43</v>
      </c>
      <c r="B44" s="1" t="n">
        <f aca="false">E43</f>
        <v>38816.5411961272</v>
      </c>
      <c r="C44" s="1" t="n">
        <f aca="false">Dashboard!B4</f>
        <v>500</v>
      </c>
      <c r="D44" s="1" t="n">
        <f aca="false">B44*(VLOOKUP(Dashboard!B7,Cenarios!A2:B4,2,FALSE())/100)</f>
        <v>310.532329569018</v>
      </c>
      <c r="E44" s="1" t="n">
        <f aca="false">B44+C44+D44</f>
        <v>39627.0735256962</v>
      </c>
    </row>
    <row r="45" customFormat="false" ht="15" hidden="false" customHeight="false" outlineLevel="0" collapsed="false">
      <c r="A45" s="1" t="n">
        <f aca="false">A44+1</f>
        <v>44</v>
      </c>
      <c r="B45" s="1" t="n">
        <f aca="false">E44</f>
        <v>39627.0735256962</v>
      </c>
      <c r="C45" s="1" t="n">
        <f aca="false">Dashboard!B4</f>
        <v>500</v>
      </c>
      <c r="D45" s="1" t="n">
        <f aca="false">B45*(VLOOKUP(Dashboard!B7,Cenarios!A2:B4,2,FALSE())/100)</f>
        <v>317.01658820557</v>
      </c>
      <c r="E45" s="1" t="n">
        <f aca="false">B45+C45+D45</f>
        <v>40444.0901139018</v>
      </c>
    </row>
    <row r="46" customFormat="false" ht="15" hidden="false" customHeight="false" outlineLevel="0" collapsed="false">
      <c r="A46" s="1" t="n">
        <f aca="false">A45+1</f>
        <v>45</v>
      </c>
      <c r="B46" s="1" t="n">
        <f aca="false">E45</f>
        <v>40444.0901139018</v>
      </c>
      <c r="C46" s="1" t="n">
        <f aca="false">Dashboard!B4</f>
        <v>500</v>
      </c>
      <c r="D46" s="1" t="n">
        <f aca="false">B46*(VLOOKUP(Dashboard!B7,Cenarios!A2:B4,2,FALSE())/100)</f>
        <v>323.552720911215</v>
      </c>
      <c r="E46" s="1" t="n">
        <f aca="false">B46+C46+D46</f>
        <v>41267.642834813</v>
      </c>
    </row>
    <row r="47" customFormat="false" ht="15" hidden="false" customHeight="false" outlineLevel="0" collapsed="false">
      <c r="A47" s="1" t="n">
        <f aca="false">A46+1</f>
        <v>46</v>
      </c>
      <c r="B47" s="1" t="n">
        <f aca="false">E46</f>
        <v>41267.642834813</v>
      </c>
      <c r="C47" s="1" t="n">
        <f aca="false">Dashboard!B4</f>
        <v>500</v>
      </c>
      <c r="D47" s="1" t="n">
        <f aca="false">B47*(VLOOKUP(Dashboard!B7,Cenarios!A2:B4,2,FALSE())/100)</f>
        <v>330.141142678504</v>
      </c>
      <c r="E47" s="1" t="n">
        <f aca="false">B47+C47+D47</f>
        <v>42097.7839774915</v>
      </c>
    </row>
    <row r="48" customFormat="false" ht="15" hidden="false" customHeight="false" outlineLevel="0" collapsed="false">
      <c r="A48" s="1" t="n">
        <f aca="false">A47+1</f>
        <v>47</v>
      </c>
      <c r="B48" s="1" t="n">
        <f aca="false">E47</f>
        <v>42097.7839774915</v>
      </c>
      <c r="C48" s="1" t="n">
        <f aca="false">Dashboard!B4</f>
        <v>500</v>
      </c>
      <c r="D48" s="1" t="n">
        <f aca="false">B48*(VLOOKUP(Dashboard!B7,Cenarios!A2:B4,2,FALSE())/100)</f>
        <v>336.782271819932</v>
      </c>
      <c r="E48" s="1" t="n">
        <f aca="false">B48+C48+D48</f>
        <v>42934.5662493115</v>
      </c>
    </row>
    <row r="49" customFormat="false" ht="15" hidden="false" customHeight="false" outlineLevel="0" collapsed="false">
      <c r="A49" s="1" t="n">
        <f aca="false">A48+1</f>
        <v>48</v>
      </c>
      <c r="B49" s="1" t="n">
        <f aca="false">E48</f>
        <v>42934.5662493115</v>
      </c>
      <c r="C49" s="1" t="n">
        <f aca="false">Dashboard!B4</f>
        <v>500</v>
      </c>
      <c r="D49" s="1" t="n">
        <f aca="false">B49*(VLOOKUP(Dashboard!B7,Cenarios!A2:B4,2,FALSE())/100)</f>
        <v>343.476529994492</v>
      </c>
      <c r="E49" s="1" t="n">
        <f aca="false">B49+C49+D49</f>
        <v>43778.042779306</v>
      </c>
    </row>
    <row r="50" customFormat="false" ht="15" hidden="false" customHeight="false" outlineLevel="0" collapsed="false">
      <c r="A50" s="1" t="n">
        <f aca="false">A49+1</f>
        <v>49</v>
      </c>
      <c r="B50" s="1" t="n">
        <f aca="false">E49</f>
        <v>43778.042779306</v>
      </c>
      <c r="C50" s="1" t="n">
        <f aca="false">Dashboard!B4</f>
        <v>500</v>
      </c>
      <c r="D50" s="1" t="n">
        <f aca="false">B50*(VLOOKUP(Dashboard!B7,Cenarios!A2:B4,2,FALSE())/100)</f>
        <v>350.224342234448</v>
      </c>
      <c r="E50" s="1" t="n">
        <f aca="false">B50+C50+D50</f>
        <v>44628.2671215404</v>
      </c>
    </row>
    <row r="51" customFormat="false" ht="15" hidden="false" customHeight="false" outlineLevel="0" collapsed="false">
      <c r="A51" s="1" t="n">
        <f aca="false">A50+1</f>
        <v>50</v>
      </c>
      <c r="B51" s="1" t="n">
        <f aca="false">E50</f>
        <v>44628.2671215404</v>
      </c>
      <c r="C51" s="1" t="n">
        <f aca="false">Dashboard!B4</f>
        <v>500</v>
      </c>
      <c r="D51" s="1" t="n">
        <f aca="false">B51*(VLOOKUP(Dashboard!B7,Cenarios!A2:B4,2,FALSE())/100)</f>
        <v>357.026136972323</v>
      </c>
      <c r="E51" s="1" t="n">
        <f aca="false">B51+C51+D51</f>
        <v>45485.2932585127</v>
      </c>
    </row>
    <row r="52" customFormat="false" ht="15" hidden="false" customHeight="false" outlineLevel="0" collapsed="false">
      <c r="A52" s="1" t="n">
        <f aca="false">A51+1</f>
        <v>51</v>
      </c>
      <c r="B52" s="1" t="n">
        <f aca="false">E51</f>
        <v>45485.2932585127</v>
      </c>
      <c r="C52" s="1" t="n">
        <f aca="false">Dashboard!B4</f>
        <v>500</v>
      </c>
      <c r="D52" s="1" t="n">
        <f aca="false">B52*(VLOOKUP(Dashboard!B7,Cenarios!A2:B4,2,FALSE())/100)</f>
        <v>363.882346068102</v>
      </c>
      <c r="E52" s="1" t="n">
        <f aca="false">B52+C52+D52</f>
        <v>46349.1756045808</v>
      </c>
    </row>
    <row r="53" customFormat="false" ht="15" hidden="false" customHeight="false" outlineLevel="0" collapsed="false">
      <c r="A53" s="1" t="n">
        <f aca="false">A52+1</f>
        <v>52</v>
      </c>
      <c r="B53" s="1" t="n">
        <f aca="false">E52</f>
        <v>46349.1756045808</v>
      </c>
      <c r="C53" s="1" t="n">
        <f aca="false">Dashboard!B4</f>
        <v>500</v>
      </c>
      <c r="D53" s="1" t="n">
        <f aca="false">B53*(VLOOKUP(Dashboard!B7,Cenarios!A2:B4,2,FALSE())/100)</f>
        <v>370.793404836647</v>
      </c>
      <c r="E53" s="1" t="n">
        <f aca="false">B53+C53+D53</f>
        <v>47219.9690094175</v>
      </c>
    </row>
    <row r="54" customFormat="false" ht="15" hidden="false" customHeight="false" outlineLevel="0" collapsed="false">
      <c r="A54" s="1" t="n">
        <f aca="false">A53+1</f>
        <v>53</v>
      </c>
      <c r="B54" s="1" t="n">
        <f aca="false">E53</f>
        <v>47219.9690094175</v>
      </c>
      <c r="C54" s="1" t="n">
        <f aca="false">Dashboard!B4</f>
        <v>500</v>
      </c>
      <c r="D54" s="1" t="n">
        <f aca="false">B54*(VLOOKUP(Dashboard!B7,Cenarios!A2:B4,2,FALSE())/100)</f>
        <v>377.75975207534</v>
      </c>
      <c r="E54" s="1" t="n">
        <f aca="false">B54+C54+D54</f>
        <v>48097.7287614928</v>
      </c>
    </row>
    <row r="55" customFormat="false" ht="15" hidden="false" customHeight="false" outlineLevel="0" collapsed="false">
      <c r="A55" s="1" t="n">
        <f aca="false">A54+1</f>
        <v>54</v>
      </c>
      <c r="B55" s="1" t="n">
        <f aca="false">E54</f>
        <v>48097.7287614928</v>
      </c>
      <c r="C55" s="1" t="n">
        <f aca="false">Dashboard!B4</f>
        <v>500</v>
      </c>
      <c r="D55" s="1" t="n">
        <f aca="false">B55*(VLOOKUP(Dashboard!B7,Cenarios!A2:B4,2,FALSE())/100)</f>
        <v>384.781830091943</v>
      </c>
      <c r="E55" s="1" t="n">
        <f aca="false">B55+C55+D55</f>
        <v>48982.5105915848</v>
      </c>
    </row>
    <row r="56" customFormat="false" ht="15" hidden="false" customHeight="false" outlineLevel="0" collapsed="false">
      <c r="A56" s="1" t="n">
        <f aca="false">A55+1</f>
        <v>55</v>
      </c>
      <c r="B56" s="1" t="n">
        <f aca="false">E55</f>
        <v>48982.5105915848</v>
      </c>
      <c r="C56" s="1" t="n">
        <f aca="false">Dashboard!B4</f>
        <v>500</v>
      </c>
      <c r="D56" s="1" t="n">
        <f aca="false">B56*(VLOOKUP(Dashboard!B7,Cenarios!A2:B4,2,FALSE())/100)</f>
        <v>391.860084732678</v>
      </c>
      <c r="E56" s="1" t="n">
        <f aca="false">B56+C56+D56</f>
        <v>49874.3706763174</v>
      </c>
    </row>
    <row r="57" customFormat="false" ht="15" hidden="false" customHeight="false" outlineLevel="0" collapsed="false">
      <c r="A57" s="1" t="n">
        <f aca="false">A56+1</f>
        <v>56</v>
      </c>
      <c r="B57" s="1" t="n">
        <f aca="false">E56</f>
        <v>49874.3706763174</v>
      </c>
      <c r="C57" s="1" t="n">
        <f aca="false">Dashboard!B4</f>
        <v>500</v>
      </c>
      <c r="D57" s="1" t="n">
        <f aca="false">B57*(VLOOKUP(Dashboard!B7,Cenarios!A2:B4,2,FALSE())/100)</f>
        <v>398.994965410539</v>
      </c>
      <c r="E57" s="1" t="n">
        <f aca="false">B57+C57+D57</f>
        <v>50773.365641728</v>
      </c>
    </row>
    <row r="58" customFormat="false" ht="15" hidden="false" customHeight="false" outlineLevel="0" collapsed="false">
      <c r="A58" s="1" t="n">
        <f aca="false">A57+1</f>
        <v>57</v>
      </c>
      <c r="B58" s="1" t="n">
        <f aca="false">E57</f>
        <v>50773.365641728</v>
      </c>
      <c r="C58" s="1" t="n">
        <f aca="false">Dashboard!B4</f>
        <v>500</v>
      </c>
      <c r="D58" s="1" t="n">
        <f aca="false">B58*(VLOOKUP(Dashboard!B7,Cenarios!A2:B4,2,FALSE())/100)</f>
        <v>406.186925133824</v>
      </c>
      <c r="E58" s="1" t="n">
        <f aca="false">B58+C58+D58</f>
        <v>51679.5525668618</v>
      </c>
    </row>
    <row r="59" customFormat="false" ht="15" hidden="false" customHeight="false" outlineLevel="0" collapsed="false">
      <c r="A59" s="1" t="n">
        <f aca="false">A58+1</f>
        <v>58</v>
      </c>
      <c r="B59" s="1" t="n">
        <f aca="false">E58</f>
        <v>51679.5525668618</v>
      </c>
      <c r="C59" s="1" t="n">
        <f aca="false">Dashboard!B4</f>
        <v>500</v>
      </c>
      <c r="D59" s="1" t="n">
        <f aca="false">B59*(VLOOKUP(Dashboard!B7,Cenarios!A2:B4,2,FALSE())/100)</f>
        <v>413.436420534894</v>
      </c>
      <c r="E59" s="1" t="n">
        <f aca="false">B59+C59+D59</f>
        <v>52592.9889873967</v>
      </c>
    </row>
    <row r="60" customFormat="false" ht="15" hidden="false" customHeight="false" outlineLevel="0" collapsed="false">
      <c r="A60" s="1" t="n">
        <f aca="false">A59+1</f>
        <v>59</v>
      </c>
      <c r="B60" s="1" t="n">
        <f aca="false">E59</f>
        <v>52592.9889873967</v>
      </c>
      <c r="C60" s="1" t="n">
        <f aca="false">Dashboard!B4</f>
        <v>500</v>
      </c>
      <c r="D60" s="1" t="n">
        <f aca="false">B60*(VLOOKUP(Dashboard!B7,Cenarios!A2:B4,2,FALSE())/100)</f>
        <v>420.743911899174</v>
      </c>
      <c r="E60" s="1" t="n">
        <f aca="false">B60+C60+D60</f>
        <v>53513.7328992959</v>
      </c>
    </row>
    <row r="61" customFormat="false" ht="15" hidden="false" customHeight="false" outlineLevel="0" collapsed="false">
      <c r="A61" s="1" t="n">
        <f aca="false">A60+1</f>
        <v>60</v>
      </c>
      <c r="B61" s="1" t="n">
        <f aca="false">E60</f>
        <v>53513.7328992959</v>
      </c>
      <c r="C61" s="1" t="n">
        <f aca="false">Dashboard!B4</f>
        <v>500</v>
      </c>
      <c r="D61" s="1" t="n">
        <f aca="false">B61*(VLOOKUP(Dashboard!B7,Cenarios!A2:B4,2,FALSE())/100)</f>
        <v>428.109863194367</v>
      </c>
      <c r="E61" s="1" t="n">
        <f aca="false">B61+C61+D61</f>
        <v>54441.8427624902</v>
      </c>
    </row>
    <row r="62" customFormat="false" ht="15" hidden="false" customHeight="false" outlineLevel="0" collapsed="false">
      <c r="A62" s="1" t="n">
        <f aca="false">A61+1</f>
        <v>61</v>
      </c>
      <c r="B62" s="1" t="n">
        <f aca="false">E61</f>
        <v>54441.8427624902</v>
      </c>
      <c r="C62" s="1" t="n">
        <f aca="false">Dashboard!B4</f>
        <v>500</v>
      </c>
      <c r="D62" s="1" t="n">
        <f aca="false">B62*(VLOOKUP(Dashboard!B7,Cenarios!A2:B4,2,FALSE())/100)</f>
        <v>435.534742099922</v>
      </c>
      <c r="E62" s="1" t="n">
        <f aca="false">B62+C62+D62</f>
        <v>55377.3775045902</v>
      </c>
    </row>
    <row r="63" customFormat="false" ht="15" hidden="false" customHeight="false" outlineLevel="0" collapsed="false">
      <c r="A63" s="1" t="n">
        <f aca="false">A62+1</f>
        <v>62</v>
      </c>
      <c r="B63" s="1" t="n">
        <f aca="false">E62</f>
        <v>55377.3775045902</v>
      </c>
      <c r="C63" s="1" t="n">
        <f aca="false">Dashboard!B4</f>
        <v>500</v>
      </c>
      <c r="D63" s="1" t="n">
        <f aca="false">B63*(VLOOKUP(Dashboard!B7,Cenarios!A2:B4,2,FALSE())/100)</f>
        <v>443.019020036721</v>
      </c>
      <c r="E63" s="1" t="n">
        <f aca="false">B63+C63+D63</f>
        <v>56320.3965246269</v>
      </c>
    </row>
    <row r="64" customFormat="false" ht="15" hidden="false" customHeight="false" outlineLevel="0" collapsed="false">
      <c r="A64" s="1" t="n">
        <f aca="false">A63+1</f>
        <v>63</v>
      </c>
      <c r="B64" s="1" t="n">
        <f aca="false">E63</f>
        <v>56320.3965246269</v>
      </c>
      <c r="C64" s="1" t="n">
        <f aca="false">Dashboard!B4</f>
        <v>500</v>
      </c>
      <c r="D64" s="1" t="n">
        <f aca="false">B64*(VLOOKUP(Dashboard!B7,Cenarios!A2:B4,2,FALSE())/100)</f>
        <v>450.563172197015</v>
      </c>
      <c r="E64" s="1" t="n">
        <f aca="false">B64+C64+D64</f>
        <v>57270.9596968239</v>
      </c>
    </row>
    <row r="65" customFormat="false" ht="15" hidden="false" customHeight="false" outlineLevel="0" collapsed="false">
      <c r="A65" s="1" t="n">
        <f aca="false">A64+1</f>
        <v>64</v>
      </c>
      <c r="B65" s="1" t="n">
        <f aca="false">E64</f>
        <v>57270.9596968239</v>
      </c>
      <c r="C65" s="1" t="n">
        <f aca="false">Dashboard!B4</f>
        <v>500</v>
      </c>
      <c r="D65" s="1" t="n">
        <f aca="false">B65*(VLOOKUP(Dashboard!B7,Cenarios!A2:B4,2,FALSE())/100)</f>
        <v>458.167677574591</v>
      </c>
      <c r="E65" s="1" t="n">
        <f aca="false">B65+C65+D65</f>
        <v>58229.1273743985</v>
      </c>
    </row>
    <row r="66" customFormat="false" ht="15" hidden="false" customHeight="false" outlineLevel="0" collapsed="false">
      <c r="A66" s="1" t="n">
        <f aca="false">A65+1</f>
        <v>65</v>
      </c>
      <c r="B66" s="1" t="n">
        <f aca="false">E65</f>
        <v>58229.1273743985</v>
      </c>
      <c r="C66" s="1" t="n">
        <f aca="false">Dashboard!B4</f>
        <v>500</v>
      </c>
      <c r="D66" s="1" t="n">
        <f aca="false">B66*(VLOOKUP(Dashboard!B7,Cenarios!A2:B4,2,FALSE())/100)</f>
        <v>465.833018995188</v>
      </c>
      <c r="E66" s="1" t="n">
        <f aca="false">B66+C66+D66</f>
        <v>59194.9603933937</v>
      </c>
    </row>
    <row r="67" customFormat="false" ht="15" hidden="false" customHeight="false" outlineLevel="0" collapsed="false">
      <c r="A67" s="1" t="n">
        <f aca="false">A66+1</f>
        <v>66</v>
      </c>
      <c r="B67" s="1" t="n">
        <f aca="false">E66</f>
        <v>59194.9603933937</v>
      </c>
      <c r="C67" s="1" t="n">
        <f aca="false">Dashboard!B4</f>
        <v>500</v>
      </c>
      <c r="D67" s="1" t="n">
        <f aca="false">B67*(VLOOKUP(Dashboard!B7,Cenarios!A2:B4,2,FALSE())/100)</f>
        <v>473.559683147149</v>
      </c>
      <c r="E67" s="1" t="n">
        <f aca="false">B67+C67+D67</f>
        <v>60168.5200765408</v>
      </c>
    </row>
    <row r="68" customFormat="false" ht="15" hidden="false" customHeight="false" outlineLevel="0" collapsed="false">
      <c r="A68" s="1" t="n">
        <f aca="false">A67+1</f>
        <v>67</v>
      </c>
      <c r="B68" s="1" t="n">
        <f aca="false">E67</f>
        <v>60168.5200765408</v>
      </c>
      <c r="C68" s="1" t="n">
        <f aca="false">Dashboard!B4</f>
        <v>500</v>
      </c>
      <c r="D68" s="1" t="n">
        <f aca="false">B68*(VLOOKUP(Dashboard!B7,Cenarios!A2:B4,2,FALSE())/100)</f>
        <v>481.348160612327</v>
      </c>
      <c r="E68" s="1" t="n">
        <f aca="false">B68+C68+D68</f>
        <v>61149.8682371532</v>
      </c>
    </row>
    <row r="69" customFormat="false" ht="15" hidden="false" customHeight="false" outlineLevel="0" collapsed="false">
      <c r="A69" s="1" t="n">
        <f aca="false">A68+1</f>
        <v>68</v>
      </c>
      <c r="B69" s="1" t="n">
        <f aca="false">E68</f>
        <v>61149.8682371532</v>
      </c>
      <c r="C69" s="1" t="n">
        <f aca="false">Dashboard!B4</f>
        <v>500</v>
      </c>
      <c r="D69" s="1" t="n">
        <f aca="false">B69*(VLOOKUP(Dashboard!B7,Cenarios!A2:B4,2,FALSE())/100)</f>
        <v>489.198945897225</v>
      </c>
      <c r="E69" s="1" t="n">
        <f aca="false">B69+C69+D69</f>
        <v>62139.0671830504</v>
      </c>
    </row>
    <row r="70" customFormat="false" ht="15" hidden="false" customHeight="false" outlineLevel="0" collapsed="false">
      <c r="A70" s="1" t="n">
        <f aca="false">A69+1</f>
        <v>69</v>
      </c>
      <c r="B70" s="1" t="n">
        <f aca="false">E69</f>
        <v>62139.0671830504</v>
      </c>
      <c r="C70" s="1" t="n">
        <f aca="false">Dashboard!B4</f>
        <v>500</v>
      </c>
      <c r="D70" s="1" t="n">
        <f aca="false">B70*(VLOOKUP(Dashboard!B7,Cenarios!A2:B4,2,FALSE())/100)</f>
        <v>497.112537464403</v>
      </c>
      <c r="E70" s="1" t="n">
        <f aca="false">B70+C70+D70</f>
        <v>63136.1797205148</v>
      </c>
    </row>
    <row r="71" customFormat="false" ht="15" hidden="false" customHeight="false" outlineLevel="0" collapsed="false">
      <c r="A71" s="1" t="n">
        <f aca="false">A70+1</f>
        <v>70</v>
      </c>
      <c r="B71" s="1" t="n">
        <f aca="false">E70</f>
        <v>63136.1797205148</v>
      </c>
      <c r="C71" s="1" t="n">
        <f aca="false">Dashboard!B4</f>
        <v>500</v>
      </c>
      <c r="D71" s="1" t="n">
        <f aca="false">B71*(VLOOKUP(Dashboard!B7,Cenarios!A2:B4,2,FALSE())/100)</f>
        <v>505.089437764118</v>
      </c>
      <c r="E71" s="1" t="n">
        <f aca="false">B71+C71+D71</f>
        <v>64141.2691582789</v>
      </c>
    </row>
    <row r="72" customFormat="false" ht="15" hidden="false" customHeight="false" outlineLevel="0" collapsed="false">
      <c r="A72" s="1" t="n">
        <f aca="false">A71+1</f>
        <v>71</v>
      </c>
      <c r="B72" s="1" t="n">
        <f aca="false">E71</f>
        <v>64141.2691582789</v>
      </c>
      <c r="C72" s="1" t="n">
        <f aca="false">Dashboard!B4</f>
        <v>500</v>
      </c>
      <c r="D72" s="1" t="n">
        <f aca="false">B72*(VLOOKUP(Dashboard!B7,Cenarios!A2:B4,2,FALSE())/100)</f>
        <v>513.130153266231</v>
      </c>
      <c r="E72" s="1" t="n">
        <f aca="false">B72+C72+D72</f>
        <v>65154.3993115451</v>
      </c>
    </row>
    <row r="73" customFormat="false" ht="15" hidden="false" customHeight="false" outlineLevel="0" collapsed="false">
      <c r="A73" s="1" t="n">
        <f aca="false">A72+1</f>
        <v>72</v>
      </c>
      <c r="B73" s="1" t="n">
        <f aca="false">E72</f>
        <v>65154.3993115451</v>
      </c>
      <c r="C73" s="1" t="n">
        <f aca="false">Dashboard!B4</f>
        <v>500</v>
      </c>
      <c r="D73" s="1" t="n">
        <f aca="false">B73*(VLOOKUP(Dashboard!B7,Cenarios!A2:B4,2,FALSE())/100)</f>
        <v>521.235194492361</v>
      </c>
      <c r="E73" s="1" t="n">
        <f aca="false">B73+C73+D73</f>
        <v>66175.6345060375</v>
      </c>
    </row>
    <row r="74" customFormat="false" ht="15" hidden="false" customHeight="false" outlineLevel="0" collapsed="false">
      <c r="A74" s="1" t="n">
        <f aca="false">A73+1</f>
        <v>73</v>
      </c>
      <c r="B74" s="1" t="n">
        <f aca="false">E73</f>
        <v>66175.6345060375</v>
      </c>
      <c r="C74" s="1" t="n">
        <f aca="false">Dashboard!B4</f>
        <v>500</v>
      </c>
      <c r="D74" s="1" t="n">
        <f aca="false">B74*(VLOOKUP(Dashboard!B7,Cenarios!A2:B4,2,FALSE())/100)</f>
        <v>529.4050760483</v>
      </c>
      <c r="E74" s="1" t="n">
        <f aca="false">B74+C74+D74</f>
        <v>67205.0395820858</v>
      </c>
    </row>
    <row r="75" customFormat="false" ht="15" hidden="false" customHeight="false" outlineLevel="0" collapsed="false">
      <c r="A75" s="1" t="n">
        <f aca="false">A74+1</f>
        <v>74</v>
      </c>
      <c r="B75" s="1" t="n">
        <f aca="false">E74</f>
        <v>67205.0395820858</v>
      </c>
      <c r="C75" s="1" t="n">
        <f aca="false">Dashboard!B4</f>
        <v>500</v>
      </c>
      <c r="D75" s="1" t="n">
        <f aca="false">B75*(VLOOKUP(Dashboard!B7,Cenarios!A2:B4,2,FALSE())/100)</f>
        <v>537.640316656686</v>
      </c>
      <c r="E75" s="1" t="n">
        <f aca="false">B75+C75+D75</f>
        <v>68242.6798987425</v>
      </c>
    </row>
    <row r="76" customFormat="false" ht="15" hidden="false" customHeight="false" outlineLevel="0" collapsed="false">
      <c r="A76" s="1" t="n">
        <f aca="false">A75+1</f>
        <v>75</v>
      </c>
      <c r="B76" s="1" t="n">
        <f aca="false">E75</f>
        <v>68242.6798987425</v>
      </c>
      <c r="C76" s="1" t="n">
        <f aca="false">Dashboard!B4</f>
        <v>500</v>
      </c>
      <c r="D76" s="1" t="n">
        <f aca="false">B76*(VLOOKUP(Dashboard!B7,Cenarios!A2:B4,2,FALSE())/100)</f>
        <v>545.94143918994</v>
      </c>
      <c r="E76" s="1" t="n">
        <f aca="false">B76+C76+D76</f>
        <v>69288.6213379324</v>
      </c>
    </row>
    <row r="77" customFormat="false" ht="15" hidden="false" customHeight="false" outlineLevel="0" collapsed="false">
      <c r="A77" s="1" t="n">
        <f aca="false">A76+1</f>
        <v>76</v>
      </c>
      <c r="B77" s="1" t="n">
        <f aca="false">E76</f>
        <v>69288.6213379324</v>
      </c>
      <c r="C77" s="1" t="n">
        <f aca="false">Dashboard!B4</f>
        <v>500</v>
      </c>
      <c r="D77" s="1" t="n">
        <f aca="false">B77*(VLOOKUP(Dashboard!B7,Cenarios!A2:B4,2,FALSE())/100)</f>
        <v>554.308970703459</v>
      </c>
      <c r="E77" s="1" t="n">
        <f aca="false">B77+C77+D77</f>
        <v>70342.9303086359</v>
      </c>
    </row>
    <row r="78" customFormat="false" ht="15" hidden="false" customHeight="false" outlineLevel="0" collapsed="false">
      <c r="A78" s="1" t="n">
        <f aca="false">A77+1</f>
        <v>77</v>
      </c>
      <c r="B78" s="1" t="n">
        <f aca="false">E77</f>
        <v>70342.9303086359</v>
      </c>
      <c r="C78" s="1" t="n">
        <f aca="false">Dashboard!B4</f>
        <v>500</v>
      </c>
      <c r="D78" s="1" t="n">
        <f aca="false">B78*(VLOOKUP(Dashboard!B7,Cenarios!A2:B4,2,FALSE())/100)</f>
        <v>562.743442469087</v>
      </c>
      <c r="E78" s="1" t="n">
        <f aca="false">B78+C78+D78</f>
        <v>71405.6737511049</v>
      </c>
    </row>
    <row r="79" customFormat="false" ht="15" hidden="false" customHeight="false" outlineLevel="0" collapsed="false">
      <c r="A79" s="1" t="n">
        <f aca="false">A78+1</f>
        <v>78</v>
      </c>
      <c r="B79" s="1" t="n">
        <f aca="false">E78</f>
        <v>71405.6737511049</v>
      </c>
      <c r="C79" s="1" t="n">
        <f aca="false">Dashboard!B4</f>
        <v>500</v>
      </c>
      <c r="D79" s="1" t="n">
        <f aca="false">B79*(VLOOKUP(Dashboard!B7,Cenarios!A2:B4,2,FALSE())/100)</f>
        <v>571.24539000884</v>
      </c>
      <c r="E79" s="1" t="n">
        <f aca="false">B79+C79+D79</f>
        <v>72476.9191411138</v>
      </c>
    </row>
    <row r="80" customFormat="false" ht="15" hidden="false" customHeight="false" outlineLevel="0" collapsed="false">
      <c r="A80" s="1" t="n">
        <f aca="false">A79+1</f>
        <v>79</v>
      </c>
      <c r="B80" s="1" t="n">
        <f aca="false">E79</f>
        <v>72476.9191411138</v>
      </c>
      <c r="C80" s="1" t="n">
        <f aca="false">Dashboard!B4</f>
        <v>500</v>
      </c>
      <c r="D80" s="1" t="n">
        <f aca="false">B80*(VLOOKUP(Dashboard!B7,Cenarios!A2:B4,2,FALSE())/100)</f>
        <v>579.81535312891</v>
      </c>
      <c r="E80" s="1" t="n">
        <f aca="false">B80+C80+D80</f>
        <v>73556.7344942427</v>
      </c>
    </row>
    <row r="81" customFormat="false" ht="15" hidden="false" customHeight="false" outlineLevel="0" collapsed="false">
      <c r="A81" s="1" t="n">
        <f aca="false">A80+1</f>
        <v>80</v>
      </c>
      <c r="B81" s="1" t="n">
        <f aca="false">E80</f>
        <v>73556.7344942427</v>
      </c>
      <c r="C81" s="1" t="n">
        <f aca="false">Dashboard!B4</f>
        <v>500</v>
      </c>
      <c r="D81" s="1" t="n">
        <f aca="false">B81*(VLOOKUP(Dashboard!B7,Cenarios!A2:B4,2,FALSE())/100)</f>
        <v>588.453875953942</v>
      </c>
      <c r="E81" s="1" t="n">
        <f aca="false">B81+C81+D81</f>
        <v>74645.1883701966</v>
      </c>
    </row>
    <row r="82" customFormat="false" ht="15" hidden="false" customHeight="false" outlineLevel="0" collapsed="false">
      <c r="A82" s="1" t="n">
        <f aca="false">A81+1</f>
        <v>81</v>
      </c>
      <c r="B82" s="1" t="n">
        <f aca="false">E81</f>
        <v>74645.1883701966</v>
      </c>
      <c r="C82" s="1" t="n">
        <f aca="false">Dashboard!B4</f>
        <v>500</v>
      </c>
      <c r="D82" s="1" t="n">
        <f aca="false">B82*(VLOOKUP(Dashboard!B7,Cenarios!A2:B4,2,FALSE())/100)</f>
        <v>597.161506961573</v>
      </c>
      <c r="E82" s="1" t="n">
        <f aca="false">B82+C82+D82</f>
        <v>75742.3498771582</v>
      </c>
    </row>
    <row r="83" customFormat="false" ht="15" hidden="false" customHeight="false" outlineLevel="0" collapsed="false">
      <c r="A83" s="1" t="n">
        <f aca="false">A82+1</f>
        <v>82</v>
      </c>
      <c r="B83" s="1" t="n">
        <f aca="false">E82</f>
        <v>75742.3498771582</v>
      </c>
      <c r="C83" s="1" t="n">
        <f aca="false">Dashboard!B4</f>
        <v>500</v>
      </c>
      <c r="D83" s="1" t="n">
        <f aca="false">B83*(VLOOKUP(Dashboard!B7,Cenarios!A2:B4,2,FALSE())/100)</f>
        <v>605.938799017266</v>
      </c>
      <c r="E83" s="1" t="n">
        <f aca="false">B83+C83+D83</f>
        <v>76848.2886761755</v>
      </c>
    </row>
    <row r="84" customFormat="false" ht="15" hidden="false" customHeight="false" outlineLevel="0" collapsed="false">
      <c r="A84" s="1" t="n">
        <f aca="false">A83+1</f>
        <v>83</v>
      </c>
      <c r="B84" s="1" t="n">
        <f aca="false">E83</f>
        <v>76848.2886761755</v>
      </c>
      <c r="C84" s="1" t="n">
        <f aca="false">Dashboard!B4</f>
        <v>500</v>
      </c>
      <c r="D84" s="1" t="n">
        <f aca="false">B84*(VLOOKUP(Dashboard!B7,Cenarios!A2:B4,2,FALSE())/100)</f>
        <v>614.786309409404</v>
      </c>
      <c r="E84" s="1" t="n">
        <f aca="false">B84+C84+D84</f>
        <v>77963.0749855849</v>
      </c>
    </row>
    <row r="85" customFormat="false" ht="15" hidden="false" customHeight="false" outlineLevel="0" collapsed="false">
      <c r="A85" s="1" t="n">
        <f aca="false">A84+1</f>
        <v>84</v>
      </c>
      <c r="B85" s="1" t="n">
        <f aca="false">E84</f>
        <v>77963.0749855849</v>
      </c>
      <c r="C85" s="1" t="n">
        <f aca="false">Dashboard!B4</f>
        <v>500</v>
      </c>
      <c r="D85" s="1" t="n">
        <f aca="false">B85*(VLOOKUP(Dashboard!B7,Cenarios!A2:B4,2,FALSE())/100)</f>
        <v>623.704599884679</v>
      </c>
      <c r="E85" s="1" t="n">
        <f aca="false">B85+C85+D85</f>
        <v>79086.7795854696</v>
      </c>
    </row>
    <row r="86" customFormat="false" ht="15" hidden="false" customHeight="false" outlineLevel="0" collapsed="false">
      <c r="A86" s="1" t="n">
        <f aca="false">A85+1</f>
        <v>85</v>
      </c>
      <c r="B86" s="1" t="n">
        <f aca="false">E85</f>
        <v>79086.7795854696</v>
      </c>
      <c r="C86" s="1" t="n">
        <f aca="false">Dashboard!B4</f>
        <v>500</v>
      </c>
      <c r="D86" s="1" t="n">
        <f aca="false">B86*(VLOOKUP(Dashboard!B7,Cenarios!A2:B4,2,FALSE())/100)</f>
        <v>632.694236683757</v>
      </c>
      <c r="E86" s="1" t="n">
        <f aca="false">B86+C86+D86</f>
        <v>80219.4738221533</v>
      </c>
    </row>
    <row r="87" customFormat="false" ht="15" hidden="false" customHeight="false" outlineLevel="0" collapsed="false">
      <c r="A87" s="1" t="n">
        <f aca="false">A86+1</f>
        <v>86</v>
      </c>
      <c r="B87" s="1" t="n">
        <f aca="false">E86</f>
        <v>80219.4738221533</v>
      </c>
      <c r="C87" s="1" t="n">
        <f aca="false">Dashboard!B4</f>
        <v>500</v>
      </c>
      <c r="D87" s="1" t="n">
        <f aca="false">B87*(VLOOKUP(Dashboard!B7,Cenarios!A2:B4,2,FALSE())/100)</f>
        <v>641.755790577227</v>
      </c>
      <c r="E87" s="1" t="n">
        <f aca="false">B87+C87+D87</f>
        <v>81361.2296127306</v>
      </c>
    </row>
    <row r="88" customFormat="false" ht="15" hidden="false" customHeight="false" outlineLevel="0" collapsed="false">
      <c r="A88" s="1" t="n">
        <f aca="false">A87+1</f>
        <v>87</v>
      </c>
      <c r="B88" s="1" t="n">
        <f aca="false">E87</f>
        <v>81361.2296127306</v>
      </c>
      <c r="C88" s="1" t="n">
        <f aca="false">Dashboard!B4</f>
        <v>500</v>
      </c>
      <c r="D88" s="1" t="n">
        <f aca="false">B88*(VLOOKUP(Dashboard!B7,Cenarios!A2:B4,2,FALSE())/100)</f>
        <v>650.889836901845</v>
      </c>
      <c r="E88" s="1" t="n">
        <f aca="false">B88+C88+D88</f>
        <v>82512.1194496324</v>
      </c>
    </row>
    <row r="89" customFormat="false" ht="15" hidden="false" customHeight="false" outlineLevel="0" collapsed="false">
      <c r="A89" s="1" t="n">
        <f aca="false">A88+1</f>
        <v>88</v>
      </c>
      <c r="B89" s="1" t="n">
        <f aca="false">E88</f>
        <v>82512.1194496324</v>
      </c>
      <c r="C89" s="1" t="n">
        <f aca="false">Dashboard!B4</f>
        <v>500</v>
      </c>
      <c r="D89" s="1" t="n">
        <f aca="false">B89*(VLOOKUP(Dashboard!B7,Cenarios!A2:B4,2,FALSE())/100)</f>
        <v>660.096955597059</v>
      </c>
      <c r="E89" s="1" t="n">
        <f aca="false">B89+C89+D89</f>
        <v>83672.2164052295</v>
      </c>
    </row>
    <row r="90" customFormat="false" ht="15" hidden="false" customHeight="false" outlineLevel="0" collapsed="false">
      <c r="A90" s="1" t="n">
        <f aca="false">A89+1</f>
        <v>89</v>
      </c>
      <c r="B90" s="1" t="n">
        <f aca="false">E89</f>
        <v>83672.2164052295</v>
      </c>
      <c r="C90" s="1" t="n">
        <f aca="false">Dashboard!B4</f>
        <v>500</v>
      </c>
      <c r="D90" s="1" t="n">
        <f aca="false">B90*(VLOOKUP(Dashboard!B7,Cenarios!A2:B4,2,FALSE())/100)</f>
        <v>669.377731241836</v>
      </c>
      <c r="E90" s="1" t="n">
        <f aca="false">B90+C90+D90</f>
        <v>84841.5941364713</v>
      </c>
    </row>
    <row r="91" customFormat="false" ht="15" hidden="false" customHeight="false" outlineLevel="0" collapsed="false">
      <c r="A91" s="1" t="n">
        <f aca="false">A90+1</f>
        <v>90</v>
      </c>
      <c r="B91" s="1" t="n">
        <f aca="false">E90</f>
        <v>84841.5941364713</v>
      </c>
      <c r="C91" s="1" t="n">
        <f aca="false">Dashboard!B4</f>
        <v>500</v>
      </c>
      <c r="D91" s="1" t="n">
        <f aca="false">B91*(VLOOKUP(Dashboard!B7,Cenarios!A2:B4,2,FALSE())/100)</f>
        <v>678.732753091771</v>
      </c>
      <c r="E91" s="1" t="n">
        <f aca="false">B91+C91+D91</f>
        <v>86020.3268895631</v>
      </c>
    </row>
    <row r="92" customFormat="false" ht="15" hidden="false" customHeight="false" outlineLevel="0" collapsed="false">
      <c r="A92" s="1" t="n">
        <f aca="false">A91+1</f>
        <v>91</v>
      </c>
      <c r="B92" s="1" t="n">
        <f aca="false">E91</f>
        <v>86020.3268895631</v>
      </c>
      <c r="C92" s="1" t="n">
        <f aca="false">Dashboard!B4</f>
        <v>500</v>
      </c>
      <c r="D92" s="1" t="n">
        <f aca="false">B92*(VLOOKUP(Dashboard!B7,Cenarios!A2:B4,2,FALSE())/100)</f>
        <v>688.162615116505</v>
      </c>
      <c r="E92" s="1" t="n">
        <f aca="false">B92+C92+D92</f>
        <v>87208.4895046796</v>
      </c>
    </row>
    <row r="93" customFormat="false" ht="15" hidden="false" customHeight="false" outlineLevel="0" collapsed="false">
      <c r="A93" s="1" t="n">
        <f aca="false">A92+1</f>
        <v>92</v>
      </c>
      <c r="B93" s="1" t="n">
        <f aca="false">E92</f>
        <v>87208.4895046796</v>
      </c>
      <c r="C93" s="1" t="n">
        <f aca="false">Dashboard!B4</f>
        <v>500</v>
      </c>
      <c r="D93" s="1" t="n">
        <f aca="false">B93*(VLOOKUP(Dashboard!B7,Cenarios!A2:B4,2,FALSE())/100)</f>
        <v>697.667916037437</v>
      </c>
      <c r="E93" s="1" t="n">
        <f aca="false">B93+C93+D93</f>
        <v>88406.157420717</v>
      </c>
    </row>
    <row r="94" customFormat="false" ht="15" hidden="false" customHeight="false" outlineLevel="0" collapsed="false">
      <c r="A94" s="1" t="n">
        <f aca="false">A93+1</f>
        <v>93</v>
      </c>
      <c r="B94" s="1" t="n">
        <f aca="false">E93</f>
        <v>88406.157420717</v>
      </c>
      <c r="C94" s="1" t="n">
        <f aca="false">Dashboard!B4</f>
        <v>500</v>
      </c>
      <c r="D94" s="1" t="n">
        <f aca="false">B94*(VLOOKUP(Dashboard!B7,Cenarios!A2:B4,2,FALSE())/100)</f>
        <v>707.249259365736</v>
      </c>
      <c r="E94" s="1" t="n">
        <f aca="false">B94+C94+D94</f>
        <v>89613.4066800828</v>
      </c>
    </row>
    <row r="95" customFormat="false" ht="15" hidden="false" customHeight="false" outlineLevel="0" collapsed="false">
      <c r="A95" s="1" t="n">
        <f aca="false">A94+1</f>
        <v>94</v>
      </c>
      <c r="B95" s="1" t="n">
        <f aca="false">E94</f>
        <v>89613.4066800828</v>
      </c>
      <c r="C95" s="1" t="n">
        <f aca="false">Dashboard!B4</f>
        <v>500</v>
      </c>
      <c r="D95" s="1" t="n">
        <f aca="false">B95*(VLOOKUP(Dashboard!B7,Cenarios!A2:B4,2,FALSE())/100)</f>
        <v>716.907253440662</v>
      </c>
      <c r="E95" s="1" t="n">
        <f aca="false">B95+C95+D95</f>
        <v>90830.3139335234</v>
      </c>
    </row>
    <row r="96" customFormat="false" ht="15" hidden="false" customHeight="false" outlineLevel="0" collapsed="false">
      <c r="A96" s="1" t="n">
        <f aca="false">A95+1</f>
        <v>95</v>
      </c>
      <c r="B96" s="1" t="n">
        <f aca="false">E95</f>
        <v>90830.3139335234</v>
      </c>
      <c r="C96" s="1" t="n">
        <f aca="false">Dashboard!B4</f>
        <v>500</v>
      </c>
      <c r="D96" s="1" t="n">
        <f aca="false">B96*(VLOOKUP(Dashboard!B7,Cenarios!A2:B4,2,FALSE())/100)</f>
        <v>726.642511468187</v>
      </c>
      <c r="E96" s="1" t="n">
        <f aca="false">B96+C96+D96</f>
        <v>92056.9564449916</v>
      </c>
    </row>
    <row r="97" customFormat="false" ht="15" hidden="false" customHeight="false" outlineLevel="0" collapsed="false">
      <c r="A97" s="1" t="n">
        <f aca="false">A96+1</f>
        <v>96</v>
      </c>
      <c r="B97" s="1" t="n">
        <f aca="false">E96</f>
        <v>92056.9564449916</v>
      </c>
      <c r="C97" s="1" t="n">
        <f aca="false">Dashboard!B4</f>
        <v>500</v>
      </c>
      <c r="D97" s="1" t="n">
        <f aca="false">B97*(VLOOKUP(Dashboard!B7,Cenarios!A2:B4,2,FALSE())/100)</f>
        <v>736.455651559933</v>
      </c>
      <c r="E97" s="1" t="n">
        <f aca="false">B97+C97+D97</f>
        <v>93293.4120965516</v>
      </c>
    </row>
    <row r="98" customFormat="false" ht="15" hidden="false" customHeight="false" outlineLevel="0" collapsed="false">
      <c r="A98" s="1" t="n">
        <f aca="false">A97+1</f>
        <v>97</v>
      </c>
      <c r="B98" s="1" t="n">
        <f aca="false">E97</f>
        <v>93293.4120965516</v>
      </c>
      <c r="C98" s="1" t="n">
        <f aca="false">Dashboard!B4</f>
        <v>500</v>
      </c>
      <c r="D98" s="1" t="n">
        <f aca="false">B98*(VLOOKUP(Dashboard!B7,Cenarios!A2:B4,2,FALSE())/100)</f>
        <v>746.347296772412</v>
      </c>
      <c r="E98" s="1" t="n">
        <f aca="false">B98+C98+D98</f>
        <v>94539.759393324</v>
      </c>
    </row>
    <row r="99" customFormat="false" ht="15" hidden="false" customHeight="false" outlineLevel="0" collapsed="false">
      <c r="A99" s="1" t="n">
        <f aca="false">A98+1</f>
        <v>98</v>
      </c>
      <c r="B99" s="1" t="n">
        <f aca="false">E98</f>
        <v>94539.759393324</v>
      </c>
      <c r="C99" s="1" t="n">
        <f aca="false">Dashboard!B4</f>
        <v>500</v>
      </c>
      <c r="D99" s="1" t="n">
        <f aca="false">B99*(VLOOKUP(Dashboard!B7,Cenarios!A2:B4,2,FALSE())/100)</f>
        <v>756.318075146592</v>
      </c>
      <c r="E99" s="1" t="n">
        <f aca="false">B99+C99+D99</f>
        <v>95796.0774684706</v>
      </c>
    </row>
    <row r="100" customFormat="false" ht="15" hidden="false" customHeight="false" outlineLevel="0" collapsed="false">
      <c r="A100" s="1" t="n">
        <f aca="false">A99+1</f>
        <v>99</v>
      </c>
      <c r="B100" s="1" t="n">
        <f aca="false">E99</f>
        <v>95796.0774684706</v>
      </c>
      <c r="C100" s="1" t="n">
        <f aca="false">Dashboard!B4</f>
        <v>500</v>
      </c>
      <c r="D100" s="1" t="n">
        <f aca="false">B100*(VLOOKUP(Dashboard!B7,Cenarios!A2:B4,2,FALSE())/100)</f>
        <v>766.368619747765</v>
      </c>
      <c r="E100" s="1" t="n">
        <f aca="false">B100+C100+D100</f>
        <v>97062.4460882183</v>
      </c>
    </row>
    <row r="101" customFormat="false" ht="15" hidden="false" customHeight="false" outlineLevel="0" collapsed="false">
      <c r="A101" s="1" t="n">
        <f aca="false">A100+1</f>
        <v>100</v>
      </c>
      <c r="B101" s="1" t="n">
        <f aca="false">E100</f>
        <v>97062.4460882183</v>
      </c>
      <c r="C101" s="1" t="n">
        <f aca="false">Dashboard!B4</f>
        <v>500</v>
      </c>
      <c r="D101" s="1" t="n">
        <f aca="false">B101*(VLOOKUP(Dashboard!B7,Cenarios!A2:B4,2,FALSE())/100)</f>
        <v>776.499568705747</v>
      </c>
      <c r="E101" s="1" t="n">
        <f aca="false">B101+C101+D101</f>
        <v>98338.9456569241</v>
      </c>
    </row>
    <row r="102" customFormat="false" ht="15" hidden="false" customHeight="false" outlineLevel="0" collapsed="false">
      <c r="A102" s="1" t="n">
        <f aca="false">A101+1</f>
        <v>101</v>
      </c>
      <c r="B102" s="1" t="n">
        <f aca="false">E101</f>
        <v>98338.9456569241</v>
      </c>
      <c r="C102" s="1" t="n">
        <f aca="false">Dashboard!B4</f>
        <v>500</v>
      </c>
      <c r="D102" s="1" t="n">
        <f aca="false">B102*(VLOOKUP(Dashboard!B7,Cenarios!A2:B4,2,FALSE())/100)</f>
        <v>786.711565255393</v>
      </c>
      <c r="E102" s="1" t="n">
        <f aca="false">B102+C102+D102</f>
        <v>99625.6572221795</v>
      </c>
    </row>
    <row r="103" customFormat="false" ht="15" hidden="false" customHeight="false" outlineLevel="0" collapsed="false">
      <c r="A103" s="1" t="n">
        <f aca="false">A102+1</f>
        <v>102</v>
      </c>
      <c r="B103" s="1" t="n">
        <f aca="false">E102</f>
        <v>99625.6572221795</v>
      </c>
      <c r="C103" s="1" t="n">
        <f aca="false">Dashboard!B4</f>
        <v>500</v>
      </c>
      <c r="D103" s="1" t="n">
        <f aca="false">B103*(VLOOKUP(Dashboard!B7,Cenarios!A2:B4,2,FALSE())/100)</f>
        <v>797.005257777436</v>
      </c>
      <c r="E103" s="1" t="n">
        <f aca="false">B103+C103+D103</f>
        <v>100922.662479957</v>
      </c>
    </row>
    <row r="104" customFormat="false" ht="15" hidden="false" customHeight="false" outlineLevel="0" collapsed="false">
      <c r="A104" s="1" t="n">
        <f aca="false">A103+1</f>
        <v>103</v>
      </c>
      <c r="B104" s="1" t="n">
        <f aca="false">E103</f>
        <v>100922.662479957</v>
      </c>
      <c r="C104" s="1" t="n">
        <f aca="false">Dashboard!B4</f>
        <v>500</v>
      </c>
      <c r="D104" s="1" t="n">
        <f aca="false">B104*(VLOOKUP(Dashboard!B7,Cenarios!A2:B4,2,FALSE())/100)</f>
        <v>807.381299839655</v>
      </c>
      <c r="E104" s="1" t="n">
        <f aca="false">B104+C104+D104</f>
        <v>102230.043779797</v>
      </c>
    </row>
    <row r="105" customFormat="false" ht="15" hidden="false" customHeight="false" outlineLevel="0" collapsed="false">
      <c r="A105" s="1" t="n">
        <f aca="false">A104+1</f>
        <v>104</v>
      </c>
      <c r="B105" s="1" t="n">
        <f aca="false">E104</f>
        <v>102230.043779797</v>
      </c>
      <c r="C105" s="1" t="n">
        <f aca="false">Dashboard!B4</f>
        <v>500</v>
      </c>
      <c r="D105" s="1" t="n">
        <f aca="false">B105*(VLOOKUP(Dashboard!B7,Cenarios!A2:B4,2,FALSE())/100)</f>
        <v>817.840350238373</v>
      </c>
      <c r="E105" s="1" t="n">
        <f aca="false">B105+C105+D105</f>
        <v>103547.884130035</v>
      </c>
    </row>
    <row r="106" customFormat="false" ht="15" hidden="false" customHeight="false" outlineLevel="0" collapsed="false">
      <c r="A106" s="1" t="n">
        <f aca="false">A105+1</f>
        <v>105</v>
      </c>
      <c r="B106" s="1" t="n">
        <f aca="false">E105</f>
        <v>103547.884130035</v>
      </c>
      <c r="C106" s="1" t="n">
        <f aca="false">Dashboard!B4</f>
        <v>500</v>
      </c>
      <c r="D106" s="1" t="n">
        <f aca="false">B106*(VLOOKUP(Dashboard!B7,Cenarios!A2:B4,2,FALSE())/100)</f>
        <v>828.383073040279</v>
      </c>
      <c r="E106" s="1" t="n">
        <f aca="false">B106+C106+D106</f>
        <v>104876.267203075</v>
      </c>
    </row>
    <row r="107" customFormat="false" ht="15" hidden="false" customHeight="false" outlineLevel="0" collapsed="false">
      <c r="A107" s="1" t="n">
        <f aca="false">A106+1</f>
        <v>106</v>
      </c>
      <c r="B107" s="1" t="n">
        <f aca="false">E106</f>
        <v>104876.267203075</v>
      </c>
      <c r="C107" s="1" t="n">
        <f aca="false">Dashboard!B4</f>
        <v>500</v>
      </c>
      <c r="D107" s="1" t="n">
        <f aca="false">B107*(VLOOKUP(Dashboard!B7,Cenarios!A2:B4,2,FALSE())/100)</f>
        <v>839.010137624602</v>
      </c>
      <c r="E107" s="1" t="n">
        <f aca="false">B107+C107+D107</f>
        <v>106215.2773407</v>
      </c>
    </row>
    <row r="108" customFormat="false" ht="15" hidden="false" customHeight="false" outlineLevel="0" collapsed="false">
      <c r="A108" s="1" t="n">
        <f aca="false">A107+1</f>
        <v>107</v>
      </c>
      <c r="B108" s="1" t="n">
        <f aca="false">E107</f>
        <v>106215.2773407</v>
      </c>
      <c r="C108" s="1" t="n">
        <f aca="false">Dashboard!B4</f>
        <v>500</v>
      </c>
      <c r="D108" s="1" t="n">
        <f aca="false">B108*(VLOOKUP(Dashboard!B7,Cenarios!A2:B4,2,FALSE())/100)</f>
        <v>849.722218725599</v>
      </c>
      <c r="E108" s="1" t="n">
        <f aca="false">B108+C108+D108</f>
        <v>107564.999559425</v>
      </c>
    </row>
    <row r="109" customFormat="false" ht="15" hidden="false" customHeight="false" outlineLevel="0" collapsed="false">
      <c r="A109" s="1" t="n">
        <f aca="false">A108+1</f>
        <v>108</v>
      </c>
      <c r="B109" s="1" t="n">
        <f aca="false">E108</f>
        <v>107564.999559425</v>
      </c>
      <c r="C109" s="1" t="n">
        <f aca="false">Dashboard!B4</f>
        <v>500</v>
      </c>
      <c r="D109" s="1" t="n">
        <f aca="false">B109*(VLOOKUP(Dashboard!B7,Cenarios!A2:B4,2,FALSE())/100)</f>
        <v>860.519996475403</v>
      </c>
      <c r="E109" s="1" t="n">
        <f aca="false">B109+C109+D109</f>
        <v>108925.519555901</v>
      </c>
    </row>
    <row r="110" customFormat="false" ht="15" hidden="false" customHeight="false" outlineLevel="0" collapsed="false">
      <c r="A110" s="1" t="n">
        <f aca="false">A109+1</f>
        <v>109</v>
      </c>
      <c r="B110" s="1" t="n">
        <f aca="false">E109</f>
        <v>108925.519555901</v>
      </c>
      <c r="C110" s="1" t="n">
        <f aca="false">Dashboard!B4</f>
        <v>500</v>
      </c>
      <c r="D110" s="1" t="n">
        <f aca="false">B110*(VLOOKUP(Dashboard!B7,Cenarios!A2:B4,2,FALSE())/100)</f>
        <v>871.404156447207</v>
      </c>
      <c r="E110" s="1" t="n">
        <f aca="false">B110+C110+D110</f>
        <v>110296.923712348</v>
      </c>
    </row>
    <row r="111" customFormat="false" ht="15" hidden="false" customHeight="false" outlineLevel="0" collapsed="false">
      <c r="A111" s="1" t="n">
        <f aca="false">A110+1</f>
        <v>110</v>
      </c>
      <c r="B111" s="1" t="n">
        <f aca="false">E110</f>
        <v>110296.923712348</v>
      </c>
      <c r="C111" s="1" t="n">
        <f aca="false">Dashboard!B4</f>
        <v>500</v>
      </c>
      <c r="D111" s="1" t="n">
        <f aca="false">B111*(VLOOKUP(Dashboard!B7,Cenarios!A2:B4,2,FALSE())/100)</f>
        <v>882.375389698784</v>
      </c>
      <c r="E111" s="1" t="n">
        <f aca="false">B111+C111+D111</f>
        <v>111679.299102047</v>
      </c>
    </row>
    <row r="112" customFormat="false" ht="15" hidden="false" customHeight="false" outlineLevel="0" collapsed="false">
      <c r="A112" s="1" t="n">
        <f aca="false">A111+1</f>
        <v>111</v>
      </c>
      <c r="B112" s="1" t="n">
        <f aca="false">E111</f>
        <v>111679.299102047</v>
      </c>
      <c r="C112" s="1" t="n">
        <f aca="false">Dashboard!B4</f>
        <v>500</v>
      </c>
      <c r="D112" s="1" t="n">
        <f aca="false">B112*(VLOOKUP(Dashboard!B7,Cenarios!A2:B4,2,FALSE())/100)</f>
        <v>893.434392816375</v>
      </c>
      <c r="E112" s="1" t="n">
        <f aca="false">B112+C112+D112</f>
        <v>113072.733494863</v>
      </c>
    </row>
    <row r="113" customFormat="false" ht="15" hidden="false" customHeight="false" outlineLevel="0" collapsed="false">
      <c r="A113" s="1" t="n">
        <f aca="false">A112+1</f>
        <v>112</v>
      </c>
      <c r="B113" s="1" t="n">
        <f aca="false">E112</f>
        <v>113072.733494863</v>
      </c>
      <c r="C113" s="1" t="n">
        <f aca="false">Dashboard!B4</f>
        <v>500</v>
      </c>
      <c r="D113" s="1" t="n">
        <f aca="false">B113*(VLOOKUP(Dashboard!B7,Cenarios!A2:B4,2,FALSE())/100)</f>
        <v>904.581867958906</v>
      </c>
      <c r="E113" s="1" t="n">
        <f aca="false">B113+C113+D113</f>
        <v>114477.315362822</v>
      </c>
    </row>
    <row r="114" customFormat="false" ht="15" hidden="false" customHeight="false" outlineLevel="0" collapsed="false">
      <c r="A114" s="1" t="n">
        <f aca="false">A113+1</f>
        <v>113</v>
      </c>
      <c r="B114" s="1" t="n">
        <f aca="false">E113</f>
        <v>114477.315362822</v>
      </c>
      <c r="C114" s="1" t="n">
        <f aca="false">Dashboard!B4</f>
        <v>500</v>
      </c>
      <c r="D114" s="1" t="n">
        <f aca="false">B114*(VLOOKUP(Dashboard!B7,Cenarios!A2:B4,2,FALSE())/100)</f>
        <v>915.818522902577</v>
      </c>
      <c r="E114" s="1" t="n">
        <f aca="false">B114+C114+D114</f>
        <v>115893.133885725</v>
      </c>
    </row>
    <row r="115" customFormat="false" ht="15" hidden="false" customHeight="false" outlineLevel="0" collapsed="false">
      <c r="A115" s="1" t="n">
        <f aca="false">A114+1</f>
        <v>114</v>
      </c>
      <c r="B115" s="1" t="n">
        <f aca="false">E114</f>
        <v>115893.133885725</v>
      </c>
      <c r="C115" s="1" t="n">
        <f aca="false">Dashboard!B4</f>
        <v>500</v>
      </c>
      <c r="D115" s="1" t="n">
        <f aca="false">B115*(VLOOKUP(Dashboard!B7,Cenarios!A2:B4,2,FALSE())/100)</f>
        <v>927.145071085797</v>
      </c>
      <c r="E115" s="1" t="n">
        <f aca="false">B115+C115+D115</f>
        <v>117320.27895681</v>
      </c>
    </row>
    <row r="116" customFormat="false" ht="15" hidden="false" customHeight="false" outlineLevel="0" collapsed="false">
      <c r="A116" s="1" t="n">
        <f aca="false">A115+1</f>
        <v>115</v>
      </c>
      <c r="B116" s="1" t="n">
        <f aca="false">E115</f>
        <v>117320.27895681</v>
      </c>
      <c r="C116" s="1" t="n">
        <f aca="false">Dashboard!B4</f>
        <v>500</v>
      </c>
      <c r="D116" s="1" t="n">
        <f aca="false">B116*(VLOOKUP(Dashboard!B7,Cenarios!A2:B4,2,FALSE())/100)</f>
        <v>938.562231654484</v>
      </c>
      <c r="E116" s="1" t="n">
        <f aca="false">B116+C116+D116</f>
        <v>118758.841188465</v>
      </c>
    </row>
    <row r="117" customFormat="false" ht="15" hidden="false" customHeight="false" outlineLevel="0" collapsed="false">
      <c r="A117" s="1" t="n">
        <f aca="false">A116+1</f>
        <v>116</v>
      </c>
      <c r="B117" s="1" t="n">
        <f aca="false">E116</f>
        <v>118758.841188465</v>
      </c>
      <c r="C117" s="1" t="n">
        <f aca="false">Dashboard!B4</f>
        <v>500</v>
      </c>
      <c r="D117" s="1" t="n">
        <f aca="false">B117*(VLOOKUP(Dashboard!B7,Cenarios!A2:B4,2,FALSE())/100)</f>
        <v>950.07072950772</v>
      </c>
      <c r="E117" s="1" t="n">
        <f aca="false">B117+C117+D117</f>
        <v>120208.911917973</v>
      </c>
    </row>
    <row r="118" customFormat="false" ht="15" hidden="false" customHeight="false" outlineLevel="0" collapsed="false">
      <c r="A118" s="1" t="n">
        <f aca="false">A117+1</f>
        <v>117</v>
      </c>
      <c r="B118" s="1" t="n">
        <f aca="false">E117</f>
        <v>120208.911917973</v>
      </c>
      <c r="C118" s="1" t="n">
        <f aca="false">Dashboard!B4</f>
        <v>500</v>
      </c>
      <c r="D118" s="1" t="n">
        <f aca="false">B118*(VLOOKUP(Dashboard!B7,Cenarios!A2:B4,2,FALSE())/100)</f>
        <v>961.671295343782</v>
      </c>
      <c r="E118" s="1" t="n">
        <f aca="false">B118+C118+D118</f>
        <v>121670.583213316</v>
      </c>
    </row>
    <row r="119" customFormat="false" ht="15" hidden="false" customHeight="false" outlineLevel="0" collapsed="false">
      <c r="A119" s="1" t="n">
        <f aca="false">A118+1</f>
        <v>118</v>
      </c>
      <c r="B119" s="1" t="n">
        <f aca="false">E118</f>
        <v>121670.583213316</v>
      </c>
      <c r="C119" s="1" t="n">
        <f aca="false">Dashboard!B4</f>
        <v>500</v>
      </c>
      <c r="D119" s="1" t="n">
        <f aca="false">B119*(VLOOKUP(Dashboard!B7,Cenarios!A2:B4,2,FALSE())/100)</f>
        <v>973.364665706532</v>
      </c>
      <c r="E119" s="1" t="n">
        <f aca="false">B119+C119+D119</f>
        <v>123143.947879023</v>
      </c>
    </row>
    <row r="120" customFormat="false" ht="15" hidden="false" customHeight="false" outlineLevel="0" collapsed="false">
      <c r="A120" s="1" t="n">
        <f aca="false">A119+1</f>
        <v>119</v>
      </c>
      <c r="B120" s="1" t="n">
        <f aca="false">E119</f>
        <v>123143.947879023</v>
      </c>
      <c r="C120" s="1" t="n">
        <f aca="false">Dashboard!B4</f>
        <v>500</v>
      </c>
      <c r="D120" s="1" t="n">
        <f aca="false">B120*(VLOOKUP(Dashboard!B7,Cenarios!A2:B4,2,FALSE())/100)</f>
        <v>985.151583032184</v>
      </c>
      <c r="E120" s="1" t="n">
        <f aca="false">B120+C120+D120</f>
        <v>124629.099462055</v>
      </c>
    </row>
    <row r="121" customFormat="false" ht="15" hidden="false" customHeight="false" outlineLevel="0" collapsed="false">
      <c r="A121" s="1" t="n">
        <f aca="false">A120+1</f>
        <v>120</v>
      </c>
      <c r="B121" s="1" t="n">
        <f aca="false">E120</f>
        <v>124629.099462055</v>
      </c>
      <c r="C121" s="1" t="n">
        <f aca="false">Dashboard!B4</f>
        <v>500</v>
      </c>
      <c r="D121" s="1" t="n">
        <f aca="false">B121*(VLOOKUP(Dashboard!B7,Cenarios!A2:B4,2,FALSE())/100)</f>
        <v>997.032795696441</v>
      </c>
      <c r="E121" s="1" t="n">
        <f aca="false">B121+C121+D121</f>
        <v>126126.132257752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9" min="1" style="1" width="18"/>
  </cols>
  <sheetData>
    <row r="1" customFormat="false" ht="15" hidden="false" customHeight="false" outlineLevel="0" collapsed="false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customFormat="false" ht="15" hidden="false" customHeight="false" outlineLevel="0" collapsed="false">
      <c r="A2" s="1" t="n">
        <v>1</v>
      </c>
      <c r="B2" s="1" t="n">
        <f aca="false">Dashboard!B3</f>
        <v>10000</v>
      </c>
      <c r="C2" s="1" t="n">
        <f aca="false">Dashboard!B4</f>
        <v>500</v>
      </c>
      <c r="D2" s="1" t="n">
        <f aca="false">B2*(0.5/100)</f>
        <v>50</v>
      </c>
      <c r="E2" s="1" t="n">
        <f aca="false">B2+C2+D2</f>
        <v>10550</v>
      </c>
    </row>
    <row r="3" customFormat="false" ht="15" hidden="false" customHeight="false" outlineLevel="0" collapsed="false">
      <c r="A3" s="1" t="n">
        <f aca="false">A2+1</f>
        <v>2</v>
      </c>
      <c r="B3" s="1" t="n">
        <f aca="false">E2</f>
        <v>10550</v>
      </c>
      <c r="C3" s="1" t="n">
        <f aca="false">Dashboard!B4</f>
        <v>500</v>
      </c>
      <c r="D3" s="1" t="n">
        <f aca="false">B3*(0.5/100)</f>
        <v>52.75</v>
      </c>
      <c r="E3" s="1" t="n">
        <f aca="false">B3+C3+D3</f>
        <v>11102.75</v>
      </c>
    </row>
    <row r="4" customFormat="false" ht="15" hidden="false" customHeight="false" outlineLevel="0" collapsed="false">
      <c r="A4" s="1" t="n">
        <f aca="false">A3+1</f>
        <v>3</v>
      </c>
      <c r="B4" s="1" t="n">
        <f aca="false">E3</f>
        <v>11102.75</v>
      </c>
      <c r="C4" s="1" t="n">
        <f aca="false">Dashboard!B4</f>
        <v>500</v>
      </c>
      <c r="D4" s="1" t="n">
        <f aca="false">B4*(0.5/100)</f>
        <v>55.51375</v>
      </c>
      <c r="E4" s="1" t="n">
        <f aca="false">B4+C4+D4</f>
        <v>11658.26375</v>
      </c>
    </row>
    <row r="5" customFormat="false" ht="15" hidden="false" customHeight="false" outlineLevel="0" collapsed="false">
      <c r="A5" s="1" t="n">
        <f aca="false">A4+1</f>
        <v>4</v>
      </c>
      <c r="B5" s="1" t="n">
        <f aca="false">E4</f>
        <v>11658.26375</v>
      </c>
      <c r="C5" s="1" t="n">
        <f aca="false">Dashboard!B4</f>
        <v>500</v>
      </c>
      <c r="D5" s="1" t="n">
        <f aca="false">B5*(0.5/100)</f>
        <v>58.29131875</v>
      </c>
      <c r="E5" s="1" t="n">
        <f aca="false">B5+C5+D5</f>
        <v>12216.55506875</v>
      </c>
    </row>
    <row r="6" customFormat="false" ht="15" hidden="false" customHeight="false" outlineLevel="0" collapsed="false">
      <c r="A6" s="1" t="n">
        <f aca="false">A5+1</f>
        <v>5</v>
      </c>
      <c r="B6" s="1" t="n">
        <f aca="false">E5</f>
        <v>12216.55506875</v>
      </c>
      <c r="C6" s="1" t="n">
        <f aca="false">Dashboard!B4</f>
        <v>500</v>
      </c>
      <c r="D6" s="1" t="n">
        <f aca="false">B6*(0.5/100)</f>
        <v>61.08277534375</v>
      </c>
      <c r="E6" s="1" t="n">
        <f aca="false">B6+C6+D6</f>
        <v>12777.6378440938</v>
      </c>
    </row>
    <row r="7" customFormat="false" ht="15" hidden="false" customHeight="false" outlineLevel="0" collapsed="false">
      <c r="A7" s="1" t="n">
        <f aca="false">A6+1</f>
        <v>6</v>
      </c>
      <c r="B7" s="1" t="n">
        <f aca="false">E6</f>
        <v>12777.6378440938</v>
      </c>
      <c r="C7" s="1" t="n">
        <f aca="false">Dashboard!B4</f>
        <v>500</v>
      </c>
      <c r="D7" s="1" t="n">
        <f aca="false">B7*(0.5/100)</f>
        <v>63.8881892204688</v>
      </c>
      <c r="E7" s="1" t="n">
        <f aca="false">B7+C7+D7</f>
        <v>13341.5260333142</v>
      </c>
    </row>
    <row r="8" customFormat="false" ht="15" hidden="false" customHeight="false" outlineLevel="0" collapsed="false">
      <c r="A8" s="1" t="n">
        <f aca="false">A7+1</f>
        <v>7</v>
      </c>
      <c r="B8" s="1" t="n">
        <f aca="false">E7</f>
        <v>13341.5260333142</v>
      </c>
      <c r="C8" s="1" t="n">
        <f aca="false">Dashboard!B4</f>
        <v>500</v>
      </c>
      <c r="D8" s="1" t="n">
        <f aca="false">B8*(0.5/100)</f>
        <v>66.7076301665711</v>
      </c>
      <c r="E8" s="1" t="n">
        <f aca="false">B8+C8+D8</f>
        <v>13908.2336634808</v>
      </c>
    </row>
    <row r="9" customFormat="false" ht="15" hidden="false" customHeight="false" outlineLevel="0" collapsed="false">
      <c r="A9" s="1" t="n">
        <f aca="false">A8+1</f>
        <v>8</v>
      </c>
      <c r="B9" s="1" t="n">
        <f aca="false">E8</f>
        <v>13908.2336634808</v>
      </c>
      <c r="C9" s="1" t="n">
        <f aca="false">Dashboard!B4</f>
        <v>500</v>
      </c>
      <c r="D9" s="1" t="n">
        <f aca="false">B9*(0.5/100)</f>
        <v>69.5411683174039</v>
      </c>
      <c r="E9" s="1" t="n">
        <f aca="false">B9+C9+D9</f>
        <v>14477.7748317982</v>
      </c>
    </row>
    <row r="10" customFormat="false" ht="15" hidden="false" customHeight="false" outlineLevel="0" collapsed="false">
      <c r="A10" s="1" t="n">
        <f aca="false">A9+1</f>
        <v>9</v>
      </c>
      <c r="B10" s="1" t="n">
        <f aca="false">E9</f>
        <v>14477.7748317982</v>
      </c>
      <c r="C10" s="1" t="n">
        <f aca="false">Dashboard!B4</f>
        <v>500</v>
      </c>
      <c r="D10" s="1" t="n">
        <f aca="false">B10*(0.5/100)</f>
        <v>72.388874158991</v>
      </c>
      <c r="E10" s="1" t="n">
        <f aca="false">B10+C10+D10</f>
        <v>15050.1637059572</v>
      </c>
    </row>
    <row r="11" customFormat="false" ht="15" hidden="false" customHeight="false" outlineLevel="0" collapsed="false">
      <c r="A11" s="1" t="n">
        <f aca="false">A10+1</f>
        <v>10</v>
      </c>
      <c r="B11" s="1" t="n">
        <f aca="false">E10</f>
        <v>15050.1637059572</v>
      </c>
      <c r="C11" s="1" t="n">
        <f aca="false">Dashboard!B4</f>
        <v>500</v>
      </c>
      <c r="D11" s="1" t="n">
        <f aca="false">B11*(0.5/100)</f>
        <v>75.2508185297859</v>
      </c>
      <c r="E11" s="1" t="n">
        <f aca="false">B11+C11+D11</f>
        <v>15625.414524487</v>
      </c>
    </row>
    <row r="12" customFormat="false" ht="15" hidden="false" customHeight="false" outlineLevel="0" collapsed="false">
      <c r="A12" s="1" t="n">
        <f aca="false">A11+1</f>
        <v>11</v>
      </c>
      <c r="B12" s="1" t="n">
        <f aca="false">E11</f>
        <v>15625.414524487</v>
      </c>
      <c r="C12" s="1" t="n">
        <f aca="false">Dashboard!B4</f>
        <v>500</v>
      </c>
      <c r="D12" s="1" t="n">
        <f aca="false">B12*(0.5/100)</f>
        <v>78.1270726224349</v>
      </c>
      <c r="E12" s="1" t="n">
        <f aca="false">B12+C12+D12</f>
        <v>16203.5415971094</v>
      </c>
    </row>
    <row r="13" customFormat="false" ht="15" hidden="false" customHeight="false" outlineLevel="0" collapsed="false">
      <c r="A13" s="1" t="n">
        <f aca="false">A12+1</f>
        <v>12</v>
      </c>
      <c r="B13" s="1" t="n">
        <f aca="false">E12</f>
        <v>16203.5415971094</v>
      </c>
      <c r="C13" s="1" t="n">
        <f aca="false">Dashboard!B4</f>
        <v>500</v>
      </c>
      <c r="D13" s="1" t="n">
        <f aca="false">B13*(0.5/100)</f>
        <v>81.017707985547</v>
      </c>
      <c r="E13" s="1" t="n">
        <f aca="false">B13+C13+D13</f>
        <v>16784.559305095</v>
      </c>
    </row>
    <row r="14" customFormat="false" ht="15" hidden="false" customHeight="false" outlineLevel="0" collapsed="false">
      <c r="A14" s="1" t="n">
        <f aca="false">A13+1</f>
        <v>13</v>
      </c>
      <c r="B14" s="1" t="n">
        <f aca="false">E13</f>
        <v>16784.559305095</v>
      </c>
      <c r="C14" s="1" t="n">
        <f aca="false">Dashboard!B4</f>
        <v>500</v>
      </c>
      <c r="D14" s="1" t="n">
        <f aca="false">B14*(0.5/100)</f>
        <v>83.9227965254748</v>
      </c>
      <c r="E14" s="1" t="n">
        <f aca="false">B14+C14+D14</f>
        <v>17368.4821016204</v>
      </c>
    </row>
    <row r="15" customFormat="false" ht="15" hidden="false" customHeight="false" outlineLevel="0" collapsed="false">
      <c r="A15" s="1" t="n">
        <f aca="false">A14+1</f>
        <v>14</v>
      </c>
      <c r="B15" s="1" t="n">
        <f aca="false">E14</f>
        <v>17368.4821016204</v>
      </c>
      <c r="C15" s="1" t="n">
        <f aca="false">Dashboard!B4</f>
        <v>500</v>
      </c>
      <c r="D15" s="1" t="n">
        <f aca="false">B15*(0.5/100)</f>
        <v>86.8424105081021</v>
      </c>
      <c r="E15" s="1" t="n">
        <f aca="false">B15+C15+D15</f>
        <v>17955.3245121285</v>
      </c>
    </row>
    <row r="16" customFormat="false" ht="15" hidden="false" customHeight="false" outlineLevel="0" collapsed="false">
      <c r="A16" s="1" t="n">
        <f aca="false">A15+1</f>
        <v>15</v>
      </c>
      <c r="B16" s="1" t="n">
        <f aca="false">E15</f>
        <v>17955.3245121285</v>
      </c>
      <c r="C16" s="1" t="n">
        <f aca="false">Dashboard!B4</f>
        <v>500</v>
      </c>
      <c r="D16" s="1" t="n">
        <f aca="false">B16*(0.5/100)</f>
        <v>89.7766225606427</v>
      </c>
      <c r="E16" s="1" t="n">
        <f aca="false">B16+C16+D16</f>
        <v>18545.1011346892</v>
      </c>
    </row>
    <row r="17" customFormat="false" ht="15" hidden="false" customHeight="false" outlineLevel="0" collapsed="false">
      <c r="A17" s="1" t="n">
        <f aca="false">A16+1</f>
        <v>16</v>
      </c>
      <c r="B17" s="1" t="n">
        <f aca="false">E16</f>
        <v>18545.1011346892</v>
      </c>
      <c r="C17" s="1" t="n">
        <f aca="false">Dashboard!B4</f>
        <v>500</v>
      </c>
      <c r="D17" s="1" t="n">
        <f aca="false">B17*(0.5/100)</f>
        <v>92.7255056734459</v>
      </c>
      <c r="E17" s="1" t="n">
        <f aca="false">B17+C17+D17</f>
        <v>19137.8266403626</v>
      </c>
    </row>
    <row r="18" customFormat="false" ht="15" hidden="false" customHeight="false" outlineLevel="0" collapsed="false">
      <c r="A18" s="1" t="n">
        <f aca="false">A17+1</f>
        <v>17</v>
      </c>
      <c r="B18" s="1" t="n">
        <f aca="false">E17</f>
        <v>19137.8266403626</v>
      </c>
      <c r="C18" s="1" t="n">
        <f aca="false">Dashboard!B4</f>
        <v>500</v>
      </c>
      <c r="D18" s="1" t="n">
        <f aca="false">B18*(0.5/100)</f>
        <v>95.6891332018131</v>
      </c>
      <c r="E18" s="1" t="n">
        <f aca="false">B18+C18+D18</f>
        <v>19733.5157735644</v>
      </c>
    </row>
    <row r="19" customFormat="false" ht="15" hidden="false" customHeight="false" outlineLevel="0" collapsed="false">
      <c r="A19" s="1" t="n">
        <f aca="false">A18+1</f>
        <v>18</v>
      </c>
      <c r="B19" s="1" t="n">
        <f aca="false">E18</f>
        <v>19733.5157735644</v>
      </c>
      <c r="C19" s="1" t="n">
        <f aca="false">Dashboard!B4</f>
        <v>500</v>
      </c>
      <c r="D19" s="1" t="n">
        <f aca="false">B19*(0.5/100)</f>
        <v>98.6675788678222</v>
      </c>
      <c r="E19" s="1" t="n">
        <f aca="false">B19+C19+D19</f>
        <v>20332.1833524323</v>
      </c>
    </row>
    <row r="20" customFormat="false" ht="15" hidden="false" customHeight="false" outlineLevel="0" collapsed="false">
      <c r="A20" s="1" t="n">
        <f aca="false">A19+1</f>
        <v>19</v>
      </c>
      <c r="B20" s="1" t="n">
        <f aca="false">E19</f>
        <v>20332.1833524323</v>
      </c>
      <c r="C20" s="1" t="n">
        <f aca="false">Dashboard!B4</f>
        <v>500</v>
      </c>
      <c r="D20" s="1" t="n">
        <f aca="false">B20*(0.5/100)</f>
        <v>101.660916762161</v>
      </c>
      <c r="E20" s="1" t="n">
        <f aca="false">B20+C20+D20</f>
        <v>20933.8442691944</v>
      </c>
    </row>
    <row r="21" customFormat="false" ht="15" hidden="false" customHeight="false" outlineLevel="0" collapsed="false">
      <c r="A21" s="1" t="n">
        <f aca="false">A20+1</f>
        <v>20</v>
      </c>
      <c r="B21" s="1" t="n">
        <f aca="false">E20</f>
        <v>20933.8442691944</v>
      </c>
      <c r="C21" s="1" t="n">
        <f aca="false">Dashboard!B4</f>
        <v>500</v>
      </c>
      <c r="D21" s="1" t="n">
        <f aca="false">B21*(0.5/100)</f>
        <v>104.669221345972</v>
      </c>
      <c r="E21" s="1" t="n">
        <f aca="false">B21+C21+D21</f>
        <v>21538.5134905404</v>
      </c>
    </row>
    <row r="22" customFormat="false" ht="15" hidden="false" customHeight="false" outlineLevel="0" collapsed="false">
      <c r="A22" s="1" t="n">
        <f aca="false">A21+1</f>
        <v>21</v>
      </c>
      <c r="B22" s="1" t="n">
        <f aca="false">E21</f>
        <v>21538.5134905404</v>
      </c>
      <c r="C22" s="1" t="n">
        <f aca="false">Dashboard!B4</f>
        <v>500</v>
      </c>
      <c r="D22" s="1" t="n">
        <f aca="false">B22*(0.5/100)</f>
        <v>107.692567452702</v>
      </c>
      <c r="E22" s="1" t="n">
        <f aca="false">B22+C22+D22</f>
        <v>22146.2060579931</v>
      </c>
    </row>
    <row r="23" customFormat="false" ht="15" hidden="false" customHeight="false" outlineLevel="0" collapsed="false">
      <c r="A23" s="1" t="n">
        <f aca="false">A22+1</f>
        <v>22</v>
      </c>
      <c r="B23" s="1" t="n">
        <f aca="false">E22</f>
        <v>22146.2060579931</v>
      </c>
      <c r="C23" s="1" t="n">
        <f aca="false">Dashboard!B4</f>
        <v>500</v>
      </c>
      <c r="D23" s="1" t="n">
        <f aca="false">B23*(0.5/100)</f>
        <v>110.731030289965</v>
      </c>
      <c r="E23" s="1" t="n">
        <f aca="false">B23+C23+D23</f>
        <v>22756.9370882831</v>
      </c>
    </row>
    <row r="24" customFormat="false" ht="15" hidden="false" customHeight="false" outlineLevel="0" collapsed="false">
      <c r="A24" s="1" t="n">
        <f aca="false">A23+1</f>
        <v>23</v>
      </c>
      <c r="B24" s="1" t="n">
        <f aca="false">E23</f>
        <v>22756.9370882831</v>
      </c>
      <c r="C24" s="1" t="n">
        <f aca="false">Dashboard!B4</f>
        <v>500</v>
      </c>
      <c r="D24" s="1" t="n">
        <f aca="false">B24*(0.5/100)</f>
        <v>113.784685441415</v>
      </c>
      <c r="E24" s="1" t="n">
        <f aca="false">B24+C24+D24</f>
        <v>23370.7217737245</v>
      </c>
    </row>
    <row r="25" customFormat="false" ht="15" hidden="false" customHeight="false" outlineLevel="0" collapsed="false">
      <c r="A25" s="1" t="n">
        <f aca="false">A24+1</f>
        <v>24</v>
      </c>
      <c r="B25" s="1" t="n">
        <f aca="false">E24</f>
        <v>23370.7217737245</v>
      </c>
      <c r="C25" s="1" t="n">
        <f aca="false">Dashboard!B4</f>
        <v>500</v>
      </c>
      <c r="D25" s="1" t="n">
        <f aca="false">B25*(0.5/100)</f>
        <v>116.853608868622</v>
      </c>
      <c r="E25" s="1" t="n">
        <f aca="false">B25+C25+D25</f>
        <v>23987.5753825931</v>
      </c>
    </row>
    <row r="26" customFormat="false" ht="15" hidden="false" customHeight="false" outlineLevel="0" collapsed="false">
      <c r="A26" s="1" t="n">
        <f aca="false">A25+1</f>
        <v>25</v>
      </c>
      <c r="B26" s="1" t="n">
        <f aca="false">E25</f>
        <v>23987.5753825931</v>
      </c>
      <c r="C26" s="1" t="n">
        <f aca="false">Dashboard!B4</f>
        <v>500</v>
      </c>
      <c r="D26" s="1" t="n">
        <f aca="false">B26*(0.5/100)</f>
        <v>119.937876912965</v>
      </c>
      <c r="E26" s="1" t="n">
        <f aca="false">B26+C26+D26</f>
        <v>24607.5132595061</v>
      </c>
    </row>
    <row r="27" customFormat="false" ht="15" hidden="false" customHeight="false" outlineLevel="0" collapsed="false">
      <c r="A27" s="1" t="n">
        <f aca="false">A26+1</f>
        <v>26</v>
      </c>
      <c r="B27" s="1" t="n">
        <f aca="false">E26</f>
        <v>24607.5132595061</v>
      </c>
      <c r="C27" s="1" t="n">
        <f aca="false">Dashboard!B4</f>
        <v>500</v>
      </c>
      <c r="D27" s="1" t="n">
        <f aca="false">B27*(0.5/100)</f>
        <v>123.03756629753</v>
      </c>
      <c r="E27" s="1" t="n">
        <f aca="false">B27+C27+D27</f>
        <v>25230.5508258036</v>
      </c>
    </row>
    <row r="28" customFormat="false" ht="15" hidden="false" customHeight="false" outlineLevel="0" collapsed="false">
      <c r="A28" s="1" t="n">
        <f aca="false">A27+1</f>
        <v>27</v>
      </c>
      <c r="B28" s="1" t="n">
        <f aca="false">E27</f>
        <v>25230.5508258036</v>
      </c>
      <c r="C28" s="1" t="n">
        <f aca="false">Dashboard!B4</f>
        <v>500</v>
      </c>
      <c r="D28" s="1" t="n">
        <f aca="false">B28*(0.5/100)</f>
        <v>126.152754129018</v>
      </c>
      <c r="E28" s="1" t="n">
        <f aca="false">B28+C28+D28</f>
        <v>25856.7035799326</v>
      </c>
    </row>
    <row r="29" customFormat="false" ht="15" hidden="false" customHeight="false" outlineLevel="0" collapsed="false">
      <c r="A29" s="1" t="n">
        <f aca="false">A28+1</f>
        <v>28</v>
      </c>
      <c r="B29" s="1" t="n">
        <f aca="false">E28</f>
        <v>25856.7035799326</v>
      </c>
      <c r="C29" s="1" t="n">
        <f aca="false">Dashboard!B4</f>
        <v>500</v>
      </c>
      <c r="D29" s="1" t="n">
        <f aca="false">B29*(0.5/100)</f>
        <v>129.283517899663</v>
      </c>
      <c r="E29" s="1" t="n">
        <f aca="false">B29+C29+D29</f>
        <v>26485.9870978323</v>
      </c>
    </row>
    <row r="30" customFormat="false" ht="15" hidden="false" customHeight="false" outlineLevel="0" collapsed="false">
      <c r="A30" s="1" t="n">
        <f aca="false">A29+1</f>
        <v>29</v>
      </c>
      <c r="B30" s="1" t="n">
        <f aca="false">E29</f>
        <v>26485.9870978323</v>
      </c>
      <c r="C30" s="1" t="n">
        <f aca="false">Dashboard!B4</f>
        <v>500</v>
      </c>
      <c r="D30" s="1" t="n">
        <f aca="false">B30*(0.5/100)</f>
        <v>132.429935489161</v>
      </c>
      <c r="E30" s="1" t="n">
        <f aca="false">B30+C30+D30</f>
        <v>27118.4170333214</v>
      </c>
    </row>
    <row r="31" customFormat="false" ht="15" hidden="false" customHeight="false" outlineLevel="0" collapsed="false">
      <c r="A31" s="1" t="n">
        <f aca="false">A30+1</f>
        <v>30</v>
      </c>
      <c r="B31" s="1" t="n">
        <f aca="false">E30</f>
        <v>27118.4170333214</v>
      </c>
      <c r="C31" s="1" t="n">
        <f aca="false">Dashboard!B4</f>
        <v>500</v>
      </c>
      <c r="D31" s="1" t="n">
        <f aca="false">B31*(0.5/100)</f>
        <v>135.592085166607</v>
      </c>
      <c r="E31" s="1" t="n">
        <f aca="false">B31+C31+D31</f>
        <v>27754.009118488</v>
      </c>
    </row>
    <row r="32" customFormat="false" ht="15" hidden="false" customHeight="false" outlineLevel="0" collapsed="false">
      <c r="A32" s="1" t="n">
        <f aca="false">A31+1</f>
        <v>31</v>
      </c>
      <c r="B32" s="1" t="n">
        <f aca="false">E31</f>
        <v>27754.009118488</v>
      </c>
      <c r="C32" s="1" t="n">
        <f aca="false">Dashboard!B4</f>
        <v>500</v>
      </c>
      <c r="D32" s="1" t="n">
        <f aca="false">B32*(0.5/100)</f>
        <v>138.77004559244</v>
      </c>
      <c r="E32" s="1" t="n">
        <f aca="false">B32+C32+D32</f>
        <v>28392.7791640805</v>
      </c>
    </row>
    <row r="33" customFormat="false" ht="15" hidden="false" customHeight="false" outlineLevel="0" collapsed="false">
      <c r="A33" s="1" t="n">
        <f aca="false">A32+1</f>
        <v>32</v>
      </c>
      <c r="B33" s="1" t="n">
        <f aca="false">E32</f>
        <v>28392.7791640805</v>
      </c>
      <c r="C33" s="1" t="n">
        <f aca="false">Dashboard!B4</f>
        <v>500</v>
      </c>
      <c r="D33" s="1" t="n">
        <f aca="false">B33*(0.5/100)</f>
        <v>141.963895820402</v>
      </c>
      <c r="E33" s="1" t="n">
        <f aca="false">B33+C33+D33</f>
        <v>29034.7430599009</v>
      </c>
    </row>
    <row r="34" customFormat="false" ht="15" hidden="false" customHeight="false" outlineLevel="0" collapsed="false">
      <c r="A34" s="1" t="n">
        <f aca="false">A33+1</f>
        <v>33</v>
      </c>
      <c r="B34" s="1" t="n">
        <f aca="false">E33</f>
        <v>29034.7430599009</v>
      </c>
      <c r="C34" s="1" t="n">
        <f aca="false">Dashboard!B4</f>
        <v>500</v>
      </c>
      <c r="D34" s="1" t="n">
        <f aca="false">B34*(0.5/100)</f>
        <v>145.173715299504</v>
      </c>
      <c r="E34" s="1" t="n">
        <f aca="false">B34+C34+D34</f>
        <v>29679.9167752004</v>
      </c>
    </row>
    <row r="35" customFormat="false" ht="15" hidden="false" customHeight="false" outlineLevel="0" collapsed="false">
      <c r="A35" s="1" t="n">
        <f aca="false">A34+1</f>
        <v>34</v>
      </c>
      <c r="B35" s="1" t="n">
        <f aca="false">E34</f>
        <v>29679.9167752004</v>
      </c>
      <c r="C35" s="1" t="n">
        <f aca="false">Dashboard!B4</f>
        <v>500</v>
      </c>
      <c r="D35" s="1" t="n">
        <f aca="false">B35*(0.5/100)</f>
        <v>148.399583876002</v>
      </c>
      <c r="E35" s="1" t="n">
        <f aca="false">B35+C35+D35</f>
        <v>30328.3163590764</v>
      </c>
    </row>
    <row r="36" customFormat="false" ht="15" hidden="false" customHeight="false" outlineLevel="0" collapsed="false">
      <c r="A36" s="1" t="n">
        <f aca="false">A35+1</f>
        <v>35</v>
      </c>
      <c r="B36" s="1" t="n">
        <f aca="false">E35</f>
        <v>30328.3163590764</v>
      </c>
      <c r="C36" s="1" t="n">
        <f aca="false">Dashboard!B4</f>
        <v>500</v>
      </c>
      <c r="D36" s="1" t="n">
        <f aca="false">B36*(0.5/100)</f>
        <v>151.641581795382</v>
      </c>
      <c r="E36" s="1" t="n">
        <f aca="false">B36+C36+D36</f>
        <v>30979.9579408718</v>
      </c>
    </row>
    <row r="37" customFormat="false" ht="15" hidden="false" customHeight="false" outlineLevel="0" collapsed="false">
      <c r="A37" s="1" t="n">
        <f aca="false">A36+1</f>
        <v>36</v>
      </c>
      <c r="B37" s="1" t="n">
        <f aca="false">E36</f>
        <v>30979.9579408718</v>
      </c>
      <c r="C37" s="1" t="n">
        <f aca="false">Dashboard!B4</f>
        <v>500</v>
      </c>
      <c r="D37" s="1" t="n">
        <f aca="false">B37*(0.5/100)</f>
        <v>154.899789704359</v>
      </c>
      <c r="E37" s="1" t="n">
        <f aca="false">B37+C37+D37</f>
        <v>31634.8577305761</v>
      </c>
    </row>
    <row r="38" customFormat="false" ht="15" hidden="false" customHeight="false" outlineLevel="0" collapsed="false">
      <c r="A38" s="1" t="n">
        <f aca="false">A37+1</f>
        <v>37</v>
      </c>
      <c r="B38" s="1" t="n">
        <f aca="false">E37</f>
        <v>31634.8577305761</v>
      </c>
      <c r="C38" s="1" t="n">
        <f aca="false">Dashboard!B4</f>
        <v>500</v>
      </c>
      <c r="D38" s="1" t="n">
        <f aca="false">B38*(0.5/100)</f>
        <v>158.174288652881</v>
      </c>
      <c r="E38" s="1" t="n">
        <f aca="false">B38+C38+D38</f>
        <v>32293.032019229</v>
      </c>
    </row>
    <row r="39" customFormat="false" ht="15" hidden="false" customHeight="false" outlineLevel="0" collapsed="false">
      <c r="A39" s="1" t="n">
        <f aca="false">A38+1</f>
        <v>38</v>
      </c>
      <c r="B39" s="1" t="n">
        <f aca="false">E38</f>
        <v>32293.032019229</v>
      </c>
      <c r="C39" s="1" t="n">
        <f aca="false">Dashboard!B4</f>
        <v>500</v>
      </c>
      <c r="D39" s="1" t="n">
        <f aca="false">B39*(0.5/100)</f>
        <v>161.465160096145</v>
      </c>
      <c r="E39" s="1" t="n">
        <f aca="false">B39+C39+D39</f>
        <v>32954.4971793252</v>
      </c>
    </row>
    <row r="40" customFormat="false" ht="15" hidden="false" customHeight="false" outlineLevel="0" collapsed="false">
      <c r="A40" s="1" t="n">
        <f aca="false">A39+1</f>
        <v>39</v>
      </c>
      <c r="B40" s="1" t="n">
        <f aca="false">E39</f>
        <v>32954.4971793252</v>
      </c>
      <c r="C40" s="1" t="n">
        <f aca="false">Dashboard!B4</f>
        <v>500</v>
      </c>
      <c r="D40" s="1" t="n">
        <f aca="false">B40*(0.5/100)</f>
        <v>164.772485896626</v>
      </c>
      <c r="E40" s="1" t="n">
        <f aca="false">B40+C40+D40</f>
        <v>33619.2696652218</v>
      </c>
    </row>
    <row r="41" customFormat="false" ht="15" hidden="false" customHeight="false" outlineLevel="0" collapsed="false">
      <c r="A41" s="1" t="n">
        <f aca="false">A40+1</f>
        <v>40</v>
      </c>
      <c r="B41" s="1" t="n">
        <f aca="false">E40</f>
        <v>33619.2696652218</v>
      </c>
      <c r="C41" s="1" t="n">
        <f aca="false">Dashboard!B4</f>
        <v>500</v>
      </c>
      <c r="D41" s="1" t="n">
        <f aca="false">B41*(0.5/100)</f>
        <v>168.096348326109</v>
      </c>
      <c r="E41" s="1" t="n">
        <f aca="false">B41+C41+D41</f>
        <v>34287.3660135479</v>
      </c>
    </row>
    <row r="42" customFormat="false" ht="15" hidden="false" customHeight="false" outlineLevel="0" collapsed="false">
      <c r="A42" s="1" t="n">
        <f aca="false">A41+1</f>
        <v>41</v>
      </c>
      <c r="B42" s="1" t="n">
        <f aca="false">E41</f>
        <v>34287.3660135479</v>
      </c>
      <c r="C42" s="1" t="n">
        <f aca="false">Dashboard!B4</f>
        <v>500</v>
      </c>
      <c r="D42" s="1" t="n">
        <f aca="false">B42*(0.5/100)</f>
        <v>171.436830067739</v>
      </c>
      <c r="E42" s="1" t="n">
        <f aca="false">B42+C42+D42</f>
        <v>34958.8028436156</v>
      </c>
    </row>
    <row r="43" customFormat="false" ht="15" hidden="false" customHeight="false" outlineLevel="0" collapsed="false">
      <c r="A43" s="1" t="n">
        <f aca="false">A42+1</f>
        <v>42</v>
      </c>
      <c r="B43" s="1" t="n">
        <f aca="false">E42</f>
        <v>34958.8028436156</v>
      </c>
      <c r="C43" s="1" t="n">
        <f aca="false">Dashboard!B4</f>
        <v>500</v>
      </c>
      <c r="D43" s="1" t="n">
        <f aca="false">B43*(0.5/100)</f>
        <v>174.794014218078</v>
      </c>
      <c r="E43" s="1" t="n">
        <f aca="false">B43+C43+D43</f>
        <v>35633.5968578337</v>
      </c>
    </row>
    <row r="44" customFormat="false" ht="15" hidden="false" customHeight="false" outlineLevel="0" collapsed="false">
      <c r="A44" s="1" t="n">
        <f aca="false">A43+1</f>
        <v>43</v>
      </c>
      <c r="B44" s="1" t="n">
        <f aca="false">E43</f>
        <v>35633.5968578337</v>
      </c>
      <c r="C44" s="1" t="n">
        <f aca="false">Dashboard!B4</f>
        <v>500</v>
      </c>
      <c r="D44" s="1" t="n">
        <f aca="false">B44*(0.5/100)</f>
        <v>178.167984289169</v>
      </c>
      <c r="E44" s="1" t="n">
        <f aca="false">B44+C44+D44</f>
        <v>36311.7648421229</v>
      </c>
    </row>
    <row r="45" customFormat="false" ht="15" hidden="false" customHeight="false" outlineLevel="0" collapsed="false">
      <c r="A45" s="1" t="n">
        <f aca="false">A44+1</f>
        <v>44</v>
      </c>
      <c r="B45" s="1" t="n">
        <f aca="false">E44</f>
        <v>36311.7648421229</v>
      </c>
      <c r="C45" s="1" t="n">
        <f aca="false">Dashboard!B4</f>
        <v>500</v>
      </c>
      <c r="D45" s="1" t="n">
        <f aca="false">B45*(0.5/100)</f>
        <v>181.558824210614</v>
      </c>
      <c r="E45" s="1" t="n">
        <f aca="false">B45+C45+D45</f>
        <v>36993.3236663335</v>
      </c>
    </row>
    <row r="46" customFormat="false" ht="15" hidden="false" customHeight="false" outlineLevel="0" collapsed="false">
      <c r="A46" s="1" t="n">
        <f aca="false">A45+1</f>
        <v>45</v>
      </c>
      <c r="B46" s="1" t="n">
        <f aca="false">E45</f>
        <v>36993.3236663335</v>
      </c>
      <c r="C46" s="1" t="n">
        <f aca="false">Dashboard!B4</f>
        <v>500</v>
      </c>
      <c r="D46" s="1" t="n">
        <f aca="false">B46*(0.5/100)</f>
        <v>184.966618331667</v>
      </c>
      <c r="E46" s="1" t="n">
        <f aca="false">B46+C46+D46</f>
        <v>37678.2902846652</v>
      </c>
    </row>
    <row r="47" customFormat="false" ht="15" hidden="false" customHeight="false" outlineLevel="0" collapsed="false">
      <c r="A47" s="1" t="n">
        <f aca="false">A46+1</f>
        <v>46</v>
      </c>
      <c r="B47" s="1" t="n">
        <f aca="false">E46</f>
        <v>37678.2902846652</v>
      </c>
      <c r="C47" s="1" t="n">
        <f aca="false">Dashboard!B4</f>
        <v>500</v>
      </c>
      <c r="D47" s="1" t="n">
        <f aca="false">B47*(0.5/100)</f>
        <v>188.391451423326</v>
      </c>
      <c r="E47" s="1" t="n">
        <f aca="false">B47+C47+D47</f>
        <v>38366.6817360885</v>
      </c>
    </row>
    <row r="48" customFormat="false" ht="15" hidden="false" customHeight="false" outlineLevel="0" collapsed="false">
      <c r="A48" s="1" t="n">
        <f aca="false">A47+1</f>
        <v>47</v>
      </c>
      <c r="B48" s="1" t="n">
        <f aca="false">E47</f>
        <v>38366.6817360885</v>
      </c>
      <c r="C48" s="1" t="n">
        <f aca="false">Dashboard!B4</f>
        <v>500</v>
      </c>
      <c r="D48" s="1" t="n">
        <f aca="false">B48*(0.5/100)</f>
        <v>191.833408680442</v>
      </c>
      <c r="E48" s="1" t="n">
        <f aca="false">B48+C48+D48</f>
        <v>39058.5151447689</v>
      </c>
    </row>
    <row r="49" customFormat="false" ht="15" hidden="false" customHeight="false" outlineLevel="0" collapsed="false">
      <c r="A49" s="1" t="n">
        <f aca="false">A48+1</f>
        <v>48</v>
      </c>
      <c r="B49" s="1" t="n">
        <f aca="false">E48</f>
        <v>39058.5151447689</v>
      </c>
      <c r="C49" s="1" t="n">
        <f aca="false">Dashboard!B4</f>
        <v>500</v>
      </c>
      <c r="D49" s="1" t="n">
        <f aca="false">B49*(0.5/100)</f>
        <v>195.292575723845</v>
      </c>
      <c r="E49" s="1" t="n">
        <f aca="false">B49+C49+D49</f>
        <v>39753.8077204928</v>
      </c>
    </row>
    <row r="50" customFormat="false" ht="15" hidden="false" customHeight="false" outlineLevel="0" collapsed="false">
      <c r="A50" s="1" t="n">
        <f aca="false">A49+1</f>
        <v>49</v>
      </c>
      <c r="B50" s="1" t="n">
        <f aca="false">E49</f>
        <v>39753.8077204928</v>
      </c>
      <c r="C50" s="1" t="n">
        <f aca="false">Dashboard!B4</f>
        <v>500</v>
      </c>
      <c r="D50" s="1" t="n">
        <f aca="false">B50*(0.5/100)</f>
        <v>198.769038602464</v>
      </c>
      <c r="E50" s="1" t="n">
        <f aca="false">B50+C50+D50</f>
        <v>40452.5767590952</v>
      </c>
    </row>
    <row r="51" customFormat="false" ht="15" hidden="false" customHeight="false" outlineLevel="0" collapsed="false">
      <c r="A51" s="1" t="n">
        <f aca="false">A50+1</f>
        <v>50</v>
      </c>
      <c r="B51" s="1" t="n">
        <f aca="false">E50</f>
        <v>40452.5767590952</v>
      </c>
      <c r="C51" s="1" t="n">
        <f aca="false">Dashboard!B4</f>
        <v>500</v>
      </c>
      <c r="D51" s="1" t="n">
        <f aca="false">B51*(0.5/100)</f>
        <v>202.262883795476</v>
      </c>
      <c r="E51" s="1" t="n">
        <f aca="false">B51+C51+D51</f>
        <v>41154.8396428907</v>
      </c>
    </row>
    <row r="52" customFormat="false" ht="15" hidden="false" customHeight="false" outlineLevel="0" collapsed="false">
      <c r="A52" s="1" t="n">
        <f aca="false">A51+1</f>
        <v>51</v>
      </c>
      <c r="B52" s="1" t="n">
        <f aca="false">E51</f>
        <v>41154.8396428907</v>
      </c>
      <c r="C52" s="1" t="n">
        <f aca="false">Dashboard!B4</f>
        <v>500</v>
      </c>
      <c r="D52" s="1" t="n">
        <f aca="false">B52*(0.5/100)</f>
        <v>205.774198214454</v>
      </c>
      <c r="E52" s="1" t="n">
        <f aca="false">B52+C52+D52</f>
        <v>41860.6138411052</v>
      </c>
    </row>
    <row r="53" customFormat="false" ht="15" hidden="false" customHeight="false" outlineLevel="0" collapsed="false">
      <c r="A53" s="1" t="n">
        <f aca="false">A52+1</f>
        <v>52</v>
      </c>
      <c r="B53" s="1" t="n">
        <f aca="false">E52</f>
        <v>41860.6138411052</v>
      </c>
      <c r="C53" s="1" t="n">
        <f aca="false">Dashboard!B4</f>
        <v>500</v>
      </c>
      <c r="D53" s="1" t="n">
        <f aca="false">B53*(0.5/100)</f>
        <v>209.303069205526</v>
      </c>
      <c r="E53" s="1" t="n">
        <f aca="false">B53+C53+D53</f>
        <v>42569.9169103107</v>
      </c>
    </row>
    <row r="54" customFormat="false" ht="15" hidden="false" customHeight="false" outlineLevel="0" collapsed="false">
      <c r="A54" s="1" t="n">
        <f aca="false">A53+1</f>
        <v>53</v>
      </c>
      <c r="B54" s="1" t="n">
        <f aca="false">E53</f>
        <v>42569.9169103107</v>
      </c>
      <c r="C54" s="1" t="n">
        <f aca="false">Dashboard!B4</f>
        <v>500</v>
      </c>
      <c r="D54" s="1" t="n">
        <f aca="false">B54*(0.5/100)</f>
        <v>212.849584551553</v>
      </c>
      <c r="E54" s="1" t="n">
        <f aca="false">B54+C54+D54</f>
        <v>43282.7664948622</v>
      </c>
    </row>
    <row r="55" customFormat="false" ht="15" hidden="false" customHeight="false" outlineLevel="0" collapsed="false">
      <c r="A55" s="1" t="n">
        <f aca="false">A54+1</f>
        <v>54</v>
      </c>
      <c r="B55" s="1" t="n">
        <f aca="false">E54</f>
        <v>43282.7664948622</v>
      </c>
      <c r="C55" s="1" t="n">
        <f aca="false">Dashboard!B4</f>
        <v>500</v>
      </c>
      <c r="D55" s="1" t="n">
        <f aca="false">B55*(0.5/100)</f>
        <v>216.413832474311</v>
      </c>
      <c r="E55" s="1" t="n">
        <f aca="false">B55+C55+D55</f>
        <v>43999.1803273365</v>
      </c>
    </row>
    <row r="56" customFormat="false" ht="15" hidden="false" customHeight="false" outlineLevel="0" collapsed="false">
      <c r="A56" s="1" t="n">
        <f aca="false">A55+1</f>
        <v>55</v>
      </c>
      <c r="B56" s="1" t="n">
        <f aca="false">E55</f>
        <v>43999.1803273365</v>
      </c>
      <c r="C56" s="1" t="n">
        <f aca="false">Dashboard!B4</f>
        <v>500</v>
      </c>
      <c r="D56" s="1" t="n">
        <f aca="false">B56*(0.5/100)</f>
        <v>219.995901636683</v>
      </c>
      <c r="E56" s="1" t="n">
        <f aca="false">B56+C56+D56</f>
        <v>44719.1762289732</v>
      </c>
    </row>
    <row r="57" customFormat="false" ht="15" hidden="false" customHeight="false" outlineLevel="0" collapsed="false">
      <c r="A57" s="1" t="n">
        <f aca="false">A56+1</f>
        <v>56</v>
      </c>
      <c r="B57" s="1" t="n">
        <f aca="false">E56</f>
        <v>44719.1762289732</v>
      </c>
      <c r="C57" s="1" t="n">
        <f aca="false">Dashboard!B4</f>
        <v>500</v>
      </c>
      <c r="D57" s="1" t="n">
        <f aca="false">B57*(0.5/100)</f>
        <v>223.595881144866</v>
      </c>
      <c r="E57" s="1" t="n">
        <f aca="false">B57+C57+D57</f>
        <v>45442.7721101181</v>
      </c>
    </row>
    <row r="58" customFormat="false" ht="15" hidden="false" customHeight="false" outlineLevel="0" collapsed="false">
      <c r="A58" s="1" t="n">
        <f aca="false">A57+1</f>
        <v>57</v>
      </c>
      <c r="B58" s="1" t="n">
        <f aca="false">E57</f>
        <v>45442.7721101181</v>
      </c>
      <c r="C58" s="1" t="n">
        <f aca="false">Dashboard!B4</f>
        <v>500</v>
      </c>
      <c r="D58" s="1" t="n">
        <f aca="false">B58*(0.5/100)</f>
        <v>227.21386055059</v>
      </c>
      <c r="E58" s="1" t="n">
        <f aca="false">B58+C58+D58</f>
        <v>46169.9859706687</v>
      </c>
    </row>
    <row r="59" customFormat="false" ht="15" hidden="false" customHeight="false" outlineLevel="0" collapsed="false">
      <c r="A59" s="1" t="n">
        <f aca="false">A58+1</f>
        <v>58</v>
      </c>
      <c r="B59" s="1" t="n">
        <f aca="false">E58</f>
        <v>46169.9859706687</v>
      </c>
      <c r="C59" s="1" t="n">
        <f aca="false">Dashboard!B4</f>
        <v>500</v>
      </c>
      <c r="D59" s="1" t="n">
        <f aca="false">B59*(0.5/100)</f>
        <v>230.849929853343</v>
      </c>
      <c r="E59" s="1" t="n">
        <f aca="false">B59+C59+D59</f>
        <v>46900.835900522</v>
      </c>
    </row>
    <row r="60" customFormat="false" ht="15" hidden="false" customHeight="false" outlineLevel="0" collapsed="false">
      <c r="A60" s="1" t="n">
        <f aca="false">A59+1</f>
        <v>59</v>
      </c>
      <c r="B60" s="1" t="n">
        <f aca="false">E59</f>
        <v>46900.835900522</v>
      </c>
      <c r="C60" s="1" t="n">
        <f aca="false">Dashboard!B4</f>
        <v>500</v>
      </c>
      <c r="D60" s="1" t="n">
        <f aca="false">B60*(0.5/100)</f>
        <v>234.50417950261</v>
      </c>
      <c r="E60" s="1" t="n">
        <f aca="false">B60+C60+D60</f>
        <v>47635.3400800246</v>
      </c>
    </row>
    <row r="61" customFormat="false" ht="15" hidden="false" customHeight="false" outlineLevel="0" collapsed="false">
      <c r="A61" s="1" t="n">
        <f aca="false">A60+1</f>
        <v>60</v>
      </c>
      <c r="B61" s="1" t="n">
        <f aca="false">E60</f>
        <v>47635.3400800246</v>
      </c>
      <c r="C61" s="1" t="n">
        <f aca="false">Dashboard!B4</f>
        <v>500</v>
      </c>
      <c r="D61" s="1" t="n">
        <f aca="false">B61*(0.5/100)</f>
        <v>238.176700400123</v>
      </c>
      <c r="E61" s="1" t="n">
        <f aca="false">B61+C61+D61</f>
        <v>48373.5167804248</v>
      </c>
    </row>
    <row r="62" customFormat="false" ht="15" hidden="false" customHeight="false" outlineLevel="0" collapsed="false">
      <c r="A62" s="1" t="n">
        <f aca="false">A61+1</f>
        <v>61</v>
      </c>
      <c r="B62" s="1" t="n">
        <f aca="false">E61</f>
        <v>48373.5167804248</v>
      </c>
      <c r="C62" s="1" t="n">
        <f aca="false">Dashboard!B4</f>
        <v>500</v>
      </c>
      <c r="D62" s="1" t="n">
        <f aca="false">B62*(0.5/100)</f>
        <v>241.867583902124</v>
      </c>
      <c r="E62" s="1" t="n">
        <f aca="false">B62+C62+D62</f>
        <v>49115.3843643269</v>
      </c>
    </row>
    <row r="63" customFormat="false" ht="15" hidden="false" customHeight="false" outlineLevel="0" collapsed="false">
      <c r="A63" s="1" t="n">
        <f aca="false">A62+1</f>
        <v>62</v>
      </c>
      <c r="B63" s="1" t="n">
        <f aca="false">E62</f>
        <v>49115.3843643269</v>
      </c>
      <c r="C63" s="1" t="n">
        <f aca="false">Dashboard!B4</f>
        <v>500</v>
      </c>
      <c r="D63" s="1" t="n">
        <f aca="false">B63*(0.5/100)</f>
        <v>245.576921821634</v>
      </c>
      <c r="E63" s="1" t="n">
        <f aca="false">B63+C63+D63</f>
        <v>49860.9612861485</v>
      </c>
    </row>
    <row r="64" customFormat="false" ht="15" hidden="false" customHeight="false" outlineLevel="0" collapsed="false">
      <c r="A64" s="1" t="n">
        <f aca="false">A63+1</f>
        <v>63</v>
      </c>
      <c r="B64" s="1" t="n">
        <f aca="false">E63</f>
        <v>49860.9612861485</v>
      </c>
      <c r="C64" s="1" t="n">
        <f aca="false">Dashboard!B4</f>
        <v>500</v>
      </c>
      <c r="D64" s="1" t="n">
        <f aca="false">B64*(0.5/100)</f>
        <v>249.304806430743</v>
      </c>
      <c r="E64" s="1" t="n">
        <f aca="false">B64+C64+D64</f>
        <v>50610.2660925793</v>
      </c>
    </row>
    <row r="65" customFormat="false" ht="15" hidden="false" customHeight="false" outlineLevel="0" collapsed="false">
      <c r="A65" s="1" t="n">
        <f aca="false">A64+1</f>
        <v>64</v>
      </c>
      <c r="B65" s="1" t="n">
        <f aca="false">E64</f>
        <v>50610.2660925793</v>
      </c>
      <c r="C65" s="1" t="n">
        <f aca="false">Dashboard!B4</f>
        <v>500</v>
      </c>
      <c r="D65" s="1" t="n">
        <f aca="false">B65*(0.5/100)</f>
        <v>253.051330462896</v>
      </c>
      <c r="E65" s="1" t="n">
        <f aca="false">B65+C65+D65</f>
        <v>51363.3174230422</v>
      </c>
    </row>
    <row r="66" customFormat="false" ht="15" hidden="false" customHeight="false" outlineLevel="0" collapsed="false">
      <c r="A66" s="1" t="n">
        <f aca="false">A65+1</f>
        <v>65</v>
      </c>
      <c r="B66" s="1" t="n">
        <f aca="false">E65</f>
        <v>51363.3174230422</v>
      </c>
      <c r="C66" s="1" t="n">
        <f aca="false">Dashboard!B4</f>
        <v>500</v>
      </c>
      <c r="D66" s="1" t="n">
        <f aca="false">B66*(0.5/100)</f>
        <v>256.816587115211</v>
      </c>
      <c r="E66" s="1" t="n">
        <f aca="false">B66+C66+D66</f>
        <v>52120.1340101574</v>
      </c>
    </row>
    <row r="67" customFormat="false" ht="15" hidden="false" customHeight="false" outlineLevel="0" collapsed="false">
      <c r="A67" s="1" t="n">
        <f aca="false">A66+1</f>
        <v>66</v>
      </c>
      <c r="B67" s="1" t="n">
        <f aca="false">E66</f>
        <v>52120.1340101574</v>
      </c>
      <c r="C67" s="1" t="n">
        <f aca="false">Dashboard!B4</f>
        <v>500</v>
      </c>
      <c r="D67" s="1" t="n">
        <f aca="false">B67*(0.5/100)</f>
        <v>260.600670050787</v>
      </c>
      <c r="E67" s="1" t="n">
        <f aca="false">B67+C67+D67</f>
        <v>52880.7346802082</v>
      </c>
    </row>
    <row r="68" customFormat="false" ht="15" hidden="false" customHeight="false" outlineLevel="0" collapsed="false">
      <c r="A68" s="1" t="n">
        <f aca="false">A67+1</f>
        <v>67</v>
      </c>
      <c r="B68" s="1" t="n">
        <f aca="false">E67</f>
        <v>52880.7346802082</v>
      </c>
      <c r="C68" s="1" t="n">
        <f aca="false">Dashboard!B4</f>
        <v>500</v>
      </c>
      <c r="D68" s="1" t="n">
        <f aca="false">B68*(0.5/100)</f>
        <v>264.403673401041</v>
      </c>
      <c r="E68" s="1" t="n">
        <f aca="false">B68+C68+D68</f>
        <v>53645.1383536092</v>
      </c>
    </row>
    <row r="69" customFormat="false" ht="15" hidden="false" customHeight="false" outlineLevel="0" collapsed="false">
      <c r="A69" s="1" t="n">
        <f aca="false">A68+1</f>
        <v>68</v>
      </c>
      <c r="B69" s="1" t="n">
        <f aca="false">E68</f>
        <v>53645.1383536092</v>
      </c>
      <c r="C69" s="1" t="n">
        <f aca="false">Dashboard!B4</f>
        <v>500</v>
      </c>
      <c r="D69" s="1" t="n">
        <f aca="false">B69*(0.5/100)</f>
        <v>268.225691768046</v>
      </c>
      <c r="E69" s="1" t="n">
        <f aca="false">B69+C69+D69</f>
        <v>54413.3640453772</v>
      </c>
    </row>
    <row r="70" customFormat="false" ht="15" hidden="false" customHeight="false" outlineLevel="0" collapsed="false">
      <c r="A70" s="1" t="n">
        <f aca="false">A69+1</f>
        <v>69</v>
      </c>
      <c r="B70" s="1" t="n">
        <f aca="false">E69</f>
        <v>54413.3640453772</v>
      </c>
      <c r="C70" s="1" t="n">
        <f aca="false">Dashboard!B4</f>
        <v>500</v>
      </c>
      <c r="D70" s="1" t="n">
        <f aca="false">B70*(0.5/100)</f>
        <v>272.066820226886</v>
      </c>
      <c r="E70" s="1" t="n">
        <f aca="false">B70+C70+D70</f>
        <v>55185.4308656041</v>
      </c>
    </row>
    <row r="71" customFormat="false" ht="15" hidden="false" customHeight="false" outlineLevel="0" collapsed="false">
      <c r="A71" s="1" t="n">
        <f aca="false">A70+1</f>
        <v>70</v>
      </c>
      <c r="B71" s="1" t="n">
        <f aca="false">E70</f>
        <v>55185.4308656041</v>
      </c>
      <c r="C71" s="1" t="n">
        <f aca="false">Dashboard!B4</f>
        <v>500</v>
      </c>
      <c r="D71" s="1" t="n">
        <f aca="false">B71*(0.5/100)</f>
        <v>275.927154328021</v>
      </c>
      <c r="E71" s="1" t="n">
        <f aca="false">B71+C71+D71</f>
        <v>55961.3580199322</v>
      </c>
    </row>
    <row r="72" customFormat="false" ht="15" hidden="false" customHeight="false" outlineLevel="0" collapsed="false">
      <c r="A72" s="1" t="n">
        <f aca="false">A71+1</f>
        <v>71</v>
      </c>
      <c r="B72" s="1" t="n">
        <f aca="false">E71</f>
        <v>55961.3580199322</v>
      </c>
      <c r="C72" s="1" t="n">
        <f aca="false">Dashboard!B4</f>
        <v>500</v>
      </c>
      <c r="D72" s="1" t="n">
        <f aca="false">B72*(0.5/100)</f>
        <v>279.806790099661</v>
      </c>
      <c r="E72" s="1" t="n">
        <f aca="false">B72+C72+D72</f>
        <v>56741.1648100318</v>
      </c>
    </row>
    <row r="73" customFormat="false" ht="15" hidden="false" customHeight="false" outlineLevel="0" collapsed="false">
      <c r="A73" s="1" t="n">
        <f aca="false">A72+1</f>
        <v>72</v>
      </c>
      <c r="B73" s="1" t="n">
        <f aca="false">E72</f>
        <v>56741.1648100318</v>
      </c>
      <c r="C73" s="1" t="n">
        <f aca="false">Dashboard!B4</f>
        <v>500</v>
      </c>
      <c r="D73" s="1" t="n">
        <f aca="false">B73*(0.5/100)</f>
        <v>283.705824050159</v>
      </c>
      <c r="E73" s="1" t="n">
        <f aca="false">B73+C73+D73</f>
        <v>57524.870634082</v>
      </c>
    </row>
    <row r="74" customFormat="false" ht="15" hidden="false" customHeight="false" outlineLevel="0" collapsed="false">
      <c r="A74" s="1" t="n">
        <f aca="false">A73+1</f>
        <v>73</v>
      </c>
      <c r="B74" s="1" t="n">
        <f aca="false">E73</f>
        <v>57524.870634082</v>
      </c>
      <c r="C74" s="1" t="n">
        <f aca="false">Dashboard!B4</f>
        <v>500</v>
      </c>
      <c r="D74" s="1" t="n">
        <f aca="false">B74*(0.5/100)</f>
        <v>287.62435317041</v>
      </c>
      <c r="E74" s="1" t="n">
        <f aca="false">B74+C74+D74</f>
        <v>58312.4949872524</v>
      </c>
    </row>
    <row r="75" customFormat="false" ht="15" hidden="false" customHeight="false" outlineLevel="0" collapsed="false">
      <c r="A75" s="1" t="n">
        <f aca="false">A74+1</f>
        <v>74</v>
      </c>
      <c r="B75" s="1" t="n">
        <f aca="false">E74</f>
        <v>58312.4949872524</v>
      </c>
      <c r="C75" s="1" t="n">
        <f aca="false">Dashboard!B4</f>
        <v>500</v>
      </c>
      <c r="D75" s="1" t="n">
        <f aca="false">B75*(0.5/100)</f>
        <v>291.562474936262</v>
      </c>
      <c r="E75" s="1" t="n">
        <f aca="false">B75+C75+D75</f>
        <v>59104.0574621886</v>
      </c>
    </row>
    <row r="76" customFormat="false" ht="15" hidden="false" customHeight="false" outlineLevel="0" collapsed="false">
      <c r="A76" s="1" t="n">
        <f aca="false">A75+1</f>
        <v>75</v>
      </c>
      <c r="B76" s="1" t="n">
        <f aca="false">E75</f>
        <v>59104.0574621886</v>
      </c>
      <c r="C76" s="1" t="n">
        <f aca="false">Dashboard!B4</f>
        <v>500</v>
      </c>
      <c r="D76" s="1" t="n">
        <f aca="false">B76*(0.5/100)</f>
        <v>295.520287310943</v>
      </c>
      <c r="E76" s="1" t="n">
        <f aca="false">B76+C76+D76</f>
        <v>59899.5777494996</v>
      </c>
    </row>
    <row r="77" customFormat="false" ht="15" hidden="false" customHeight="false" outlineLevel="0" collapsed="false">
      <c r="A77" s="1" t="n">
        <f aca="false">A76+1</f>
        <v>76</v>
      </c>
      <c r="B77" s="1" t="n">
        <f aca="false">E76</f>
        <v>59899.5777494996</v>
      </c>
      <c r="C77" s="1" t="n">
        <f aca="false">Dashboard!B4</f>
        <v>500</v>
      </c>
      <c r="D77" s="1" t="n">
        <f aca="false">B77*(0.5/100)</f>
        <v>299.497888747498</v>
      </c>
      <c r="E77" s="1" t="n">
        <f aca="false">B77+C77+D77</f>
        <v>60699.0756382471</v>
      </c>
    </row>
    <row r="78" customFormat="false" ht="15" hidden="false" customHeight="false" outlineLevel="0" collapsed="false">
      <c r="A78" s="1" t="n">
        <f aca="false">A77+1</f>
        <v>77</v>
      </c>
      <c r="B78" s="1" t="n">
        <f aca="false">E77</f>
        <v>60699.0756382471</v>
      </c>
      <c r="C78" s="1" t="n">
        <f aca="false">Dashboard!B4</f>
        <v>500</v>
      </c>
      <c r="D78" s="1" t="n">
        <f aca="false">B78*(0.5/100)</f>
        <v>303.495378191235</v>
      </c>
      <c r="E78" s="1" t="n">
        <f aca="false">B78+C78+D78</f>
        <v>61502.5710164383</v>
      </c>
    </row>
    <row r="79" customFormat="false" ht="15" hidden="false" customHeight="false" outlineLevel="0" collapsed="false">
      <c r="A79" s="1" t="n">
        <f aca="false">A78+1</f>
        <v>78</v>
      </c>
      <c r="B79" s="1" t="n">
        <f aca="false">E78</f>
        <v>61502.5710164383</v>
      </c>
      <c r="C79" s="1" t="n">
        <f aca="false">Dashboard!B4</f>
        <v>500</v>
      </c>
      <c r="D79" s="1" t="n">
        <f aca="false">B79*(0.5/100)</f>
        <v>307.512855082192</v>
      </c>
      <c r="E79" s="1" t="n">
        <f aca="false">B79+C79+D79</f>
        <v>62310.0838715205</v>
      </c>
    </row>
    <row r="80" customFormat="false" ht="15" hidden="false" customHeight="false" outlineLevel="0" collapsed="false">
      <c r="A80" s="1" t="n">
        <f aca="false">A79+1</f>
        <v>79</v>
      </c>
      <c r="B80" s="1" t="n">
        <f aca="false">E79</f>
        <v>62310.0838715205</v>
      </c>
      <c r="C80" s="1" t="n">
        <f aca="false">Dashboard!B4</f>
        <v>500</v>
      </c>
      <c r="D80" s="1" t="n">
        <f aca="false">B80*(0.5/100)</f>
        <v>311.550419357603</v>
      </c>
      <c r="E80" s="1" t="n">
        <f aca="false">B80+C80+D80</f>
        <v>63121.6342908781</v>
      </c>
    </row>
    <row r="81" customFormat="false" ht="15" hidden="false" customHeight="false" outlineLevel="0" collapsed="false">
      <c r="A81" s="1" t="n">
        <f aca="false">A80+1</f>
        <v>80</v>
      </c>
      <c r="B81" s="1" t="n">
        <f aca="false">E80</f>
        <v>63121.6342908781</v>
      </c>
      <c r="C81" s="1" t="n">
        <f aca="false">Dashboard!B4</f>
        <v>500</v>
      </c>
      <c r="D81" s="1" t="n">
        <f aca="false">B81*(0.5/100)</f>
        <v>315.608171454391</v>
      </c>
      <c r="E81" s="1" t="n">
        <f aca="false">B81+C81+D81</f>
        <v>63937.2424623325</v>
      </c>
    </row>
    <row r="82" customFormat="false" ht="15" hidden="false" customHeight="false" outlineLevel="0" collapsed="false">
      <c r="A82" s="1" t="n">
        <f aca="false">A81+1</f>
        <v>81</v>
      </c>
      <c r="B82" s="1" t="n">
        <f aca="false">E81</f>
        <v>63937.2424623325</v>
      </c>
      <c r="C82" s="1" t="n">
        <f aca="false">Dashboard!B4</f>
        <v>500</v>
      </c>
      <c r="D82" s="1" t="n">
        <f aca="false">B82*(0.5/100)</f>
        <v>319.686212311663</v>
      </c>
      <c r="E82" s="1" t="n">
        <f aca="false">B82+C82+D82</f>
        <v>64756.9286746442</v>
      </c>
    </row>
    <row r="83" customFormat="false" ht="15" hidden="false" customHeight="false" outlineLevel="0" collapsed="false">
      <c r="A83" s="1" t="n">
        <f aca="false">A82+1</f>
        <v>82</v>
      </c>
      <c r="B83" s="1" t="n">
        <f aca="false">E82</f>
        <v>64756.9286746442</v>
      </c>
      <c r="C83" s="1" t="n">
        <f aca="false">Dashboard!B4</f>
        <v>500</v>
      </c>
      <c r="D83" s="1" t="n">
        <f aca="false">B83*(0.5/100)</f>
        <v>323.784643373221</v>
      </c>
      <c r="E83" s="1" t="n">
        <f aca="false">B83+C83+D83</f>
        <v>65580.7133180174</v>
      </c>
    </row>
    <row r="84" customFormat="false" ht="15" hidden="false" customHeight="false" outlineLevel="0" collapsed="false">
      <c r="A84" s="1" t="n">
        <f aca="false">A83+1</f>
        <v>83</v>
      </c>
      <c r="B84" s="1" t="n">
        <f aca="false">E83</f>
        <v>65580.7133180174</v>
      </c>
      <c r="C84" s="1" t="n">
        <f aca="false">Dashboard!B4</f>
        <v>500</v>
      </c>
      <c r="D84" s="1" t="n">
        <f aca="false">B84*(0.5/100)</f>
        <v>327.903566590087</v>
      </c>
      <c r="E84" s="1" t="n">
        <f aca="false">B84+C84+D84</f>
        <v>66408.6168846075</v>
      </c>
    </row>
    <row r="85" customFormat="false" ht="15" hidden="false" customHeight="false" outlineLevel="0" collapsed="false">
      <c r="A85" s="1" t="n">
        <f aca="false">A84+1</f>
        <v>84</v>
      </c>
      <c r="B85" s="1" t="n">
        <f aca="false">E84</f>
        <v>66408.6168846075</v>
      </c>
      <c r="C85" s="1" t="n">
        <f aca="false">Dashboard!B4</f>
        <v>500</v>
      </c>
      <c r="D85" s="1" t="n">
        <f aca="false">B85*(0.5/100)</f>
        <v>332.043084423037</v>
      </c>
      <c r="E85" s="1" t="n">
        <f aca="false">B85+C85+D85</f>
        <v>67240.6599690305</v>
      </c>
    </row>
    <row r="86" customFormat="false" ht="15" hidden="false" customHeight="false" outlineLevel="0" collapsed="false">
      <c r="A86" s="1" t="n">
        <f aca="false">A85+1</f>
        <v>85</v>
      </c>
      <c r="B86" s="1" t="n">
        <f aca="false">E85</f>
        <v>67240.6599690305</v>
      </c>
      <c r="C86" s="1" t="n">
        <f aca="false">Dashboard!B4</f>
        <v>500</v>
      </c>
      <c r="D86" s="1" t="n">
        <f aca="false">B86*(0.5/100)</f>
        <v>336.203299845153</v>
      </c>
      <c r="E86" s="1" t="n">
        <f aca="false">B86+C86+D86</f>
        <v>68076.8632688757</v>
      </c>
    </row>
    <row r="87" customFormat="false" ht="15" hidden="false" customHeight="false" outlineLevel="0" collapsed="false">
      <c r="A87" s="1" t="n">
        <f aca="false">A86+1</f>
        <v>86</v>
      </c>
      <c r="B87" s="1" t="n">
        <f aca="false">E86</f>
        <v>68076.8632688757</v>
      </c>
      <c r="C87" s="1" t="n">
        <f aca="false">Dashboard!B4</f>
        <v>500</v>
      </c>
      <c r="D87" s="1" t="n">
        <f aca="false">B87*(0.5/100)</f>
        <v>340.384316344378</v>
      </c>
      <c r="E87" s="1" t="n">
        <f aca="false">B87+C87+D87</f>
        <v>68917.24758522</v>
      </c>
    </row>
    <row r="88" customFormat="false" ht="15" hidden="false" customHeight="false" outlineLevel="0" collapsed="false">
      <c r="A88" s="1" t="n">
        <f aca="false">A87+1</f>
        <v>87</v>
      </c>
      <c r="B88" s="1" t="n">
        <f aca="false">E87</f>
        <v>68917.24758522</v>
      </c>
      <c r="C88" s="1" t="n">
        <f aca="false">Dashboard!B4</f>
        <v>500</v>
      </c>
      <c r="D88" s="1" t="n">
        <f aca="false">B88*(0.5/100)</f>
        <v>344.5862379261</v>
      </c>
      <c r="E88" s="1" t="n">
        <f aca="false">B88+C88+D88</f>
        <v>69761.8338231461</v>
      </c>
    </row>
    <row r="89" customFormat="false" ht="15" hidden="false" customHeight="false" outlineLevel="0" collapsed="false">
      <c r="A89" s="1" t="n">
        <f aca="false">A88+1</f>
        <v>88</v>
      </c>
      <c r="B89" s="1" t="n">
        <f aca="false">E88</f>
        <v>69761.8338231461</v>
      </c>
      <c r="C89" s="1" t="n">
        <f aca="false">Dashboard!B4</f>
        <v>500</v>
      </c>
      <c r="D89" s="1" t="n">
        <f aca="false">B89*(0.5/100)</f>
        <v>348.809169115731</v>
      </c>
      <c r="E89" s="1" t="n">
        <f aca="false">B89+C89+D89</f>
        <v>70610.6429922619</v>
      </c>
    </row>
    <row r="90" customFormat="false" ht="15" hidden="false" customHeight="false" outlineLevel="0" collapsed="false">
      <c r="A90" s="1" t="n">
        <f aca="false">A89+1</f>
        <v>89</v>
      </c>
      <c r="B90" s="1" t="n">
        <f aca="false">E89</f>
        <v>70610.6429922619</v>
      </c>
      <c r="C90" s="1" t="n">
        <f aca="false">Dashboard!B4</f>
        <v>500</v>
      </c>
      <c r="D90" s="1" t="n">
        <f aca="false">B90*(0.5/100)</f>
        <v>353.053214961309</v>
      </c>
      <c r="E90" s="1" t="n">
        <f aca="false">B90+C90+D90</f>
        <v>71463.6962072232</v>
      </c>
    </row>
    <row r="91" customFormat="false" ht="15" hidden="false" customHeight="false" outlineLevel="0" collapsed="false">
      <c r="A91" s="1" t="n">
        <f aca="false">A90+1</f>
        <v>90</v>
      </c>
      <c r="B91" s="1" t="n">
        <f aca="false">E90</f>
        <v>71463.6962072232</v>
      </c>
      <c r="C91" s="1" t="n">
        <f aca="false">Dashboard!B4</f>
        <v>500</v>
      </c>
      <c r="D91" s="1" t="n">
        <f aca="false">B91*(0.5/100)</f>
        <v>357.318481036116</v>
      </c>
      <c r="E91" s="1" t="n">
        <f aca="false">B91+C91+D91</f>
        <v>72321.0146882593</v>
      </c>
    </row>
    <row r="92" customFormat="false" ht="15" hidden="false" customHeight="false" outlineLevel="0" collapsed="false">
      <c r="A92" s="1" t="n">
        <f aca="false">A91+1</f>
        <v>91</v>
      </c>
      <c r="B92" s="1" t="n">
        <f aca="false">E91</f>
        <v>72321.0146882593</v>
      </c>
      <c r="C92" s="1" t="n">
        <f aca="false">Dashboard!B4</f>
        <v>500</v>
      </c>
      <c r="D92" s="1" t="n">
        <f aca="false">B92*(0.5/100)</f>
        <v>361.605073441297</v>
      </c>
      <c r="E92" s="1" t="n">
        <f aca="false">B92+C92+D92</f>
        <v>73182.6197617006</v>
      </c>
    </row>
    <row r="93" customFormat="false" ht="15" hidden="false" customHeight="false" outlineLevel="0" collapsed="false">
      <c r="A93" s="1" t="n">
        <f aca="false">A92+1</f>
        <v>92</v>
      </c>
      <c r="B93" s="1" t="n">
        <f aca="false">E92</f>
        <v>73182.6197617006</v>
      </c>
      <c r="C93" s="1" t="n">
        <f aca="false">Dashboard!B4</f>
        <v>500</v>
      </c>
      <c r="D93" s="1" t="n">
        <f aca="false">B93*(0.5/100)</f>
        <v>365.913098808503</v>
      </c>
      <c r="E93" s="1" t="n">
        <f aca="false">B93+C93+D93</f>
        <v>74048.5328605091</v>
      </c>
    </row>
    <row r="94" customFormat="false" ht="15" hidden="false" customHeight="false" outlineLevel="0" collapsed="false">
      <c r="A94" s="1" t="n">
        <f aca="false">A93+1</f>
        <v>93</v>
      </c>
      <c r="B94" s="1" t="n">
        <f aca="false">E93</f>
        <v>74048.5328605091</v>
      </c>
      <c r="C94" s="1" t="n">
        <f aca="false">Dashboard!B4</f>
        <v>500</v>
      </c>
      <c r="D94" s="1" t="n">
        <f aca="false">B94*(0.5/100)</f>
        <v>370.242664302546</v>
      </c>
      <c r="E94" s="1" t="n">
        <f aca="false">B94+C94+D94</f>
        <v>74918.7755248116</v>
      </c>
    </row>
    <row r="95" customFormat="false" ht="15" hidden="false" customHeight="false" outlineLevel="0" collapsed="false">
      <c r="A95" s="1" t="n">
        <f aca="false">A94+1</f>
        <v>94</v>
      </c>
      <c r="B95" s="1" t="n">
        <f aca="false">E94</f>
        <v>74918.7755248116</v>
      </c>
      <c r="C95" s="1" t="n">
        <f aca="false">Dashboard!B4</f>
        <v>500</v>
      </c>
      <c r="D95" s="1" t="n">
        <f aca="false">B95*(0.5/100)</f>
        <v>374.593877624058</v>
      </c>
      <c r="E95" s="1" t="n">
        <f aca="false">B95+C95+D95</f>
        <v>75793.3694024357</v>
      </c>
    </row>
    <row r="96" customFormat="false" ht="15" hidden="false" customHeight="false" outlineLevel="0" collapsed="false">
      <c r="A96" s="1" t="n">
        <f aca="false">A95+1</f>
        <v>95</v>
      </c>
      <c r="B96" s="1" t="n">
        <f aca="false">E95</f>
        <v>75793.3694024357</v>
      </c>
      <c r="C96" s="1" t="n">
        <f aca="false">Dashboard!B4</f>
        <v>500</v>
      </c>
      <c r="D96" s="1" t="n">
        <f aca="false">B96*(0.5/100)</f>
        <v>378.966847012179</v>
      </c>
      <c r="E96" s="1" t="n">
        <f aca="false">B96+C96+D96</f>
        <v>76672.3362494479</v>
      </c>
    </row>
    <row r="97" customFormat="false" ht="15" hidden="false" customHeight="false" outlineLevel="0" collapsed="false">
      <c r="A97" s="1" t="n">
        <f aca="false">A96+1</f>
        <v>96</v>
      </c>
      <c r="B97" s="1" t="n">
        <f aca="false">E96</f>
        <v>76672.3362494479</v>
      </c>
      <c r="C97" s="1" t="n">
        <f aca="false">Dashboard!B4</f>
        <v>500</v>
      </c>
      <c r="D97" s="1" t="n">
        <f aca="false">B97*(0.5/100)</f>
        <v>383.361681247239</v>
      </c>
      <c r="E97" s="1" t="n">
        <f aca="false">B97+C97+D97</f>
        <v>77555.6979306951</v>
      </c>
    </row>
    <row r="98" customFormat="false" ht="15" hidden="false" customHeight="false" outlineLevel="0" collapsed="false">
      <c r="A98" s="1" t="n">
        <f aca="false">A97+1</f>
        <v>97</v>
      </c>
      <c r="B98" s="1" t="n">
        <f aca="false">E97</f>
        <v>77555.6979306951</v>
      </c>
      <c r="C98" s="1" t="n">
        <f aca="false">Dashboard!B4</f>
        <v>500</v>
      </c>
      <c r="D98" s="1" t="n">
        <f aca="false">B98*(0.5/100)</f>
        <v>387.778489653476</v>
      </c>
      <c r="E98" s="1" t="n">
        <f aca="false">B98+C98+D98</f>
        <v>78443.4764203486</v>
      </c>
    </row>
    <row r="99" customFormat="false" ht="15" hidden="false" customHeight="false" outlineLevel="0" collapsed="false">
      <c r="A99" s="1" t="n">
        <f aca="false">A98+1</f>
        <v>98</v>
      </c>
      <c r="B99" s="1" t="n">
        <f aca="false">E98</f>
        <v>78443.4764203486</v>
      </c>
      <c r="C99" s="1" t="n">
        <f aca="false">Dashboard!B4</f>
        <v>500</v>
      </c>
      <c r="D99" s="1" t="n">
        <f aca="false">B99*(0.5/100)</f>
        <v>392.217382101743</v>
      </c>
      <c r="E99" s="1" t="n">
        <f aca="false">B99+C99+D99</f>
        <v>79335.6938024504</v>
      </c>
    </row>
    <row r="100" customFormat="false" ht="15" hidden="false" customHeight="false" outlineLevel="0" collapsed="false">
      <c r="A100" s="1" t="n">
        <f aca="false">A99+1</f>
        <v>99</v>
      </c>
      <c r="B100" s="1" t="n">
        <f aca="false">E99</f>
        <v>79335.6938024504</v>
      </c>
      <c r="C100" s="1" t="n">
        <f aca="false">Dashboard!B4</f>
        <v>500</v>
      </c>
      <c r="D100" s="1" t="n">
        <f aca="false">B100*(0.5/100)</f>
        <v>396.678469012252</v>
      </c>
      <c r="E100" s="1" t="n">
        <f aca="false">B100+C100+D100</f>
        <v>80232.3722714626</v>
      </c>
    </row>
    <row r="101" customFormat="false" ht="15" hidden="false" customHeight="false" outlineLevel="0" collapsed="false">
      <c r="A101" s="1" t="n">
        <f aca="false">A100+1</f>
        <v>100</v>
      </c>
      <c r="B101" s="1" t="n">
        <f aca="false">E100</f>
        <v>80232.3722714626</v>
      </c>
      <c r="C101" s="1" t="n">
        <f aca="false">Dashboard!B4</f>
        <v>500</v>
      </c>
      <c r="D101" s="1" t="n">
        <f aca="false">B101*(0.5/100)</f>
        <v>401.161861357313</v>
      </c>
      <c r="E101" s="1" t="n">
        <f aca="false">B101+C101+D101</f>
        <v>81133.5341328199</v>
      </c>
    </row>
    <row r="102" customFormat="false" ht="15" hidden="false" customHeight="false" outlineLevel="0" collapsed="false">
      <c r="A102" s="1" t="n">
        <f aca="false">A101+1</f>
        <v>101</v>
      </c>
      <c r="B102" s="1" t="n">
        <f aca="false">E101</f>
        <v>81133.5341328199</v>
      </c>
      <c r="C102" s="1" t="n">
        <f aca="false">Dashboard!B4</f>
        <v>500</v>
      </c>
      <c r="D102" s="1" t="n">
        <f aca="false">B102*(0.5/100)</f>
        <v>405.6676706641</v>
      </c>
      <c r="E102" s="1" t="n">
        <f aca="false">B102+C102+D102</f>
        <v>82039.201803484</v>
      </c>
    </row>
    <row r="103" customFormat="false" ht="15" hidden="false" customHeight="false" outlineLevel="0" collapsed="false">
      <c r="A103" s="1" t="n">
        <f aca="false">A102+1</f>
        <v>102</v>
      </c>
      <c r="B103" s="1" t="n">
        <f aca="false">E102</f>
        <v>82039.201803484</v>
      </c>
      <c r="C103" s="1" t="n">
        <f aca="false">Dashboard!B4</f>
        <v>500</v>
      </c>
      <c r="D103" s="1" t="n">
        <f aca="false">B103*(0.5/100)</f>
        <v>410.19600901742</v>
      </c>
      <c r="E103" s="1" t="n">
        <f aca="false">B103+C103+D103</f>
        <v>82949.3978125014</v>
      </c>
    </row>
    <row r="104" customFormat="false" ht="15" hidden="false" customHeight="false" outlineLevel="0" collapsed="false">
      <c r="A104" s="1" t="n">
        <f aca="false">A103+1</f>
        <v>103</v>
      </c>
      <c r="B104" s="1" t="n">
        <f aca="false">E103</f>
        <v>82949.3978125014</v>
      </c>
      <c r="C104" s="1" t="n">
        <f aca="false">Dashboard!B4</f>
        <v>500</v>
      </c>
      <c r="D104" s="1" t="n">
        <f aca="false">B104*(0.5/100)</f>
        <v>414.746989062507</v>
      </c>
      <c r="E104" s="1" t="n">
        <f aca="false">B104+C104+D104</f>
        <v>83864.144801564</v>
      </c>
    </row>
    <row r="105" customFormat="false" ht="15" hidden="false" customHeight="false" outlineLevel="0" collapsed="false">
      <c r="A105" s="1" t="n">
        <f aca="false">A104+1</f>
        <v>104</v>
      </c>
      <c r="B105" s="1" t="n">
        <f aca="false">E104</f>
        <v>83864.144801564</v>
      </c>
      <c r="C105" s="1" t="n">
        <f aca="false">Dashboard!B4</f>
        <v>500</v>
      </c>
      <c r="D105" s="1" t="n">
        <f aca="false">B105*(0.5/100)</f>
        <v>419.32072400782</v>
      </c>
      <c r="E105" s="1" t="n">
        <f aca="false">B105+C105+D105</f>
        <v>84783.4655255718</v>
      </c>
    </row>
    <row r="106" customFormat="false" ht="15" hidden="false" customHeight="false" outlineLevel="0" collapsed="false">
      <c r="A106" s="1" t="n">
        <f aca="false">A105+1</f>
        <v>105</v>
      </c>
      <c r="B106" s="1" t="n">
        <f aca="false">E105</f>
        <v>84783.4655255718</v>
      </c>
      <c r="C106" s="1" t="n">
        <f aca="false">Dashboard!B4</f>
        <v>500</v>
      </c>
      <c r="D106" s="1" t="n">
        <f aca="false">B106*(0.5/100)</f>
        <v>423.917327627859</v>
      </c>
      <c r="E106" s="1" t="n">
        <f aca="false">B106+C106+D106</f>
        <v>85707.3828531996</v>
      </c>
    </row>
    <row r="107" customFormat="false" ht="15" hidden="false" customHeight="false" outlineLevel="0" collapsed="false">
      <c r="A107" s="1" t="n">
        <f aca="false">A106+1</f>
        <v>106</v>
      </c>
      <c r="B107" s="1" t="n">
        <f aca="false">E106</f>
        <v>85707.3828531996</v>
      </c>
      <c r="C107" s="1" t="n">
        <f aca="false">Dashboard!B4</f>
        <v>500</v>
      </c>
      <c r="D107" s="1" t="n">
        <f aca="false">B107*(0.5/100)</f>
        <v>428.536914265998</v>
      </c>
      <c r="E107" s="1" t="n">
        <f aca="false">B107+C107+D107</f>
        <v>86635.9197674656</v>
      </c>
    </row>
    <row r="108" customFormat="false" ht="15" hidden="false" customHeight="false" outlineLevel="0" collapsed="false">
      <c r="A108" s="1" t="n">
        <f aca="false">A107+1</f>
        <v>107</v>
      </c>
      <c r="B108" s="1" t="n">
        <f aca="false">E107</f>
        <v>86635.9197674656</v>
      </c>
      <c r="C108" s="1" t="n">
        <f aca="false">Dashboard!B4</f>
        <v>500</v>
      </c>
      <c r="D108" s="1" t="n">
        <f aca="false">B108*(0.5/100)</f>
        <v>433.179598837328</v>
      </c>
      <c r="E108" s="1" t="n">
        <f aca="false">B108+C108+D108</f>
        <v>87569.099366303</v>
      </c>
    </row>
    <row r="109" customFormat="false" ht="15" hidden="false" customHeight="false" outlineLevel="0" collapsed="false">
      <c r="A109" s="1" t="n">
        <f aca="false">A108+1</f>
        <v>108</v>
      </c>
      <c r="B109" s="1" t="n">
        <f aca="false">E108</f>
        <v>87569.099366303</v>
      </c>
      <c r="C109" s="1" t="n">
        <f aca="false">Dashboard!B4</f>
        <v>500</v>
      </c>
      <c r="D109" s="1" t="n">
        <f aca="false">B109*(0.5/100)</f>
        <v>437.845496831515</v>
      </c>
      <c r="E109" s="1" t="n">
        <f aca="false">B109+C109+D109</f>
        <v>88506.9448631345</v>
      </c>
    </row>
    <row r="110" customFormat="false" ht="15" hidden="false" customHeight="false" outlineLevel="0" collapsed="false">
      <c r="A110" s="1" t="n">
        <f aca="false">A109+1</f>
        <v>109</v>
      </c>
      <c r="B110" s="1" t="n">
        <f aca="false">E109</f>
        <v>88506.9448631345</v>
      </c>
      <c r="C110" s="1" t="n">
        <f aca="false">Dashboard!B4</f>
        <v>500</v>
      </c>
      <c r="D110" s="1" t="n">
        <f aca="false">B110*(0.5/100)</f>
        <v>442.534724315672</v>
      </c>
      <c r="E110" s="1" t="n">
        <f aca="false">B110+C110+D110</f>
        <v>89449.4795874501</v>
      </c>
    </row>
    <row r="111" customFormat="false" ht="15" hidden="false" customHeight="false" outlineLevel="0" collapsed="false">
      <c r="A111" s="1" t="n">
        <f aca="false">A110+1</f>
        <v>110</v>
      </c>
      <c r="B111" s="1" t="n">
        <f aca="false">E110</f>
        <v>89449.4795874501</v>
      </c>
      <c r="C111" s="1" t="n">
        <f aca="false">Dashboard!B4</f>
        <v>500</v>
      </c>
      <c r="D111" s="1" t="n">
        <f aca="false">B111*(0.5/100)</f>
        <v>447.247397937251</v>
      </c>
      <c r="E111" s="1" t="n">
        <f aca="false">B111+C111+D111</f>
        <v>90396.7269853874</v>
      </c>
    </row>
    <row r="112" customFormat="false" ht="15" hidden="false" customHeight="false" outlineLevel="0" collapsed="false">
      <c r="A112" s="1" t="n">
        <f aca="false">A111+1</f>
        <v>111</v>
      </c>
      <c r="B112" s="1" t="n">
        <f aca="false">E111</f>
        <v>90396.7269853874</v>
      </c>
      <c r="C112" s="1" t="n">
        <f aca="false">Dashboard!B4</f>
        <v>500</v>
      </c>
      <c r="D112" s="1" t="n">
        <f aca="false">B112*(0.5/100)</f>
        <v>451.983634926937</v>
      </c>
      <c r="E112" s="1" t="n">
        <f aca="false">B112+C112+D112</f>
        <v>91348.7106203143</v>
      </c>
    </row>
    <row r="113" customFormat="false" ht="15" hidden="false" customHeight="false" outlineLevel="0" collapsed="false">
      <c r="A113" s="1" t="n">
        <f aca="false">A112+1</f>
        <v>112</v>
      </c>
      <c r="B113" s="1" t="n">
        <f aca="false">E112</f>
        <v>91348.7106203143</v>
      </c>
      <c r="C113" s="1" t="n">
        <f aca="false">Dashboard!B4</f>
        <v>500</v>
      </c>
      <c r="D113" s="1" t="n">
        <f aca="false">B113*(0.5/100)</f>
        <v>456.743553101572</v>
      </c>
      <c r="E113" s="1" t="n">
        <f aca="false">B113+C113+D113</f>
        <v>92305.4541734159</v>
      </c>
    </row>
    <row r="114" customFormat="false" ht="15" hidden="false" customHeight="false" outlineLevel="0" collapsed="false">
      <c r="A114" s="1" t="n">
        <f aca="false">A113+1</f>
        <v>113</v>
      </c>
      <c r="B114" s="1" t="n">
        <f aca="false">E113</f>
        <v>92305.4541734159</v>
      </c>
      <c r="C114" s="1" t="n">
        <f aca="false">Dashboard!B4</f>
        <v>500</v>
      </c>
      <c r="D114" s="1" t="n">
        <f aca="false">B114*(0.5/100)</f>
        <v>461.527270867079</v>
      </c>
      <c r="E114" s="1" t="n">
        <f aca="false">B114+C114+D114</f>
        <v>93266.981444283</v>
      </c>
    </row>
    <row r="115" customFormat="false" ht="15" hidden="false" customHeight="false" outlineLevel="0" collapsed="false">
      <c r="A115" s="1" t="n">
        <f aca="false">A114+1</f>
        <v>114</v>
      </c>
      <c r="B115" s="1" t="n">
        <f aca="false">E114</f>
        <v>93266.981444283</v>
      </c>
      <c r="C115" s="1" t="n">
        <f aca="false">Dashboard!B4</f>
        <v>500</v>
      </c>
      <c r="D115" s="1" t="n">
        <f aca="false">B115*(0.5/100)</f>
        <v>466.334907221415</v>
      </c>
      <c r="E115" s="1" t="n">
        <f aca="false">B115+C115+D115</f>
        <v>94233.3163515044</v>
      </c>
    </row>
    <row r="116" customFormat="false" ht="15" hidden="false" customHeight="false" outlineLevel="0" collapsed="false">
      <c r="A116" s="1" t="n">
        <f aca="false">A115+1</f>
        <v>115</v>
      </c>
      <c r="B116" s="1" t="n">
        <f aca="false">E115</f>
        <v>94233.3163515044</v>
      </c>
      <c r="C116" s="1" t="n">
        <f aca="false">Dashboard!B4</f>
        <v>500</v>
      </c>
      <c r="D116" s="1" t="n">
        <f aca="false">B116*(0.5/100)</f>
        <v>471.166581757522</v>
      </c>
      <c r="E116" s="1" t="n">
        <f aca="false">B116+C116+D116</f>
        <v>95204.4829332619</v>
      </c>
    </row>
    <row r="117" customFormat="false" ht="15" hidden="false" customHeight="false" outlineLevel="0" collapsed="false">
      <c r="A117" s="1" t="n">
        <f aca="false">A116+1</f>
        <v>116</v>
      </c>
      <c r="B117" s="1" t="n">
        <f aca="false">E116</f>
        <v>95204.4829332619</v>
      </c>
      <c r="C117" s="1" t="n">
        <f aca="false">Dashboard!B4</f>
        <v>500</v>
      </c>
      <c r="D117" s="1" t="n">
        <f aca="false">B117*(0.5/100)</f>
        <v>476.02241466631</v>
      </c>
      <c r="E117" s="1" t="n">
        <f aca="false">B117+C117+D117</f>
        <v>96180.5053479282</v>
      </c>
    </row>
    <row r="118" customFormat="false" ht="15" hidden="false" customHeight="false" outlineLevel="0" collapsed="false">
      <c r="A118" s="1" t="n">
        <f aca="false">A117+1</f>
        <v>117</v>
      </c>
      <c r="B118" s="1" t="n">
        <f aca="false">E117</f>
        <v>96180.5053479282</v>
      </c>
      <c r="C118" s="1" t="n">
        <f aca="false">Dashboard!B4</f>
        <v>500</v>
      </c>
      <c r="D118" s="1" t="n">
        <f aca="false">B118*(0.5/100)</f>
        <v>480.902526739641</v>
      </c>
      <c r="E118" s="1" t="n">
        <f aca="false">B118+C118+D118</f>
        <v>97161.4078746679</v>
      </c>
    </row>
    <row r="119" customFormat="false" ht="15" hidden="false" customHeight="false" outlineLevel="0" collapsed="false">
      <c r="A119" s="1" t="n">
        <f aca="false">A118+1</f>
        <v>118</v>
      </c>
      <c r="B119" s="1" t="n">
        <f aca="false">E118</f>
        <v>97161.4078746679</v>
      </c>
      <c r="C119" s="1" t="n">
        <f aca="false">Dashboard!B4</f>
        <v>500</v>
      </c>
      <c r="D119" s="1" t="n">
        <f aca="false">B119*(0.5/100)</f>
        <v>485.807039373339</v>
      </c>
      <c r="E119" s="1" t="n">
        <f aca="false">B119+C119+D119</f>
        <v>98147.2149140412</v>
      </c>
    </row>
    <row r="120" customFormat="false" ht="15" hidden="false" customHeight="false" outlineLevel="0" collapsed="false">
      <c r="A120" s="1" t="n">
        <f aca="false">A119+1</f>
        <v>119</v>
      </c>
      <c r="B120" s="1" t="n">
        <f aca="false">E119</f>
        <v>98147.2149140412</v>
      </c>
      <c r="C120" s="1" t="n">
        <f aca="false">Dashboard!B4</f>
        <v>500</v>
      </c>
      <c r="D120" s="1" t="n">
        <f aca="false">B120*(0.5/100)</f>
        <v>490.736074570206</v>
      </c>
      <c r="E120" s="1" t="n">
        <f aca="false">B120+C120+D120</f>
        <v>99137.9509886114</v>
      </c>
    </row>
    <row r="121" customFormat="false" ht="15" hidden="false" customHeight="false" outlineLevel="0" collapsed="false">
      <c r="A121" s="1" t="n">
        <f aca="false">A120+1</f>
        <v>120</v>
      </c>
      <c r="B121" s="1" t="n">
        <f aca="false">E120</f>
        <v>99137.9509886114</v>
      </c>
      <c r="C121" s="1" t="n">
        <f aca="false">Dashboard!B4</f>
        <v>500</v>
      </c>
      <c r="D121" s="1" t="n">
        <f aca="false">B121*(0.5/100)</f>
        <v>495.689754943057</v>
      </c>
      <c r="E121" s="1" t="n">
        <f aca="false">B121+C121+D121</f>
        <v>100133.640743554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2026-02-15T22:42:35Z</dcterms:created>
  <dc:creator>openpyxl</dc:creator>
  <dc:description/>
  <dc:language>pt-PT</dc:language>
  <cp:lastModifiedBy/>
  <dcterms:modified xsi:type="dcterms:W3CDTF">2026-02-15T23:52:50Z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