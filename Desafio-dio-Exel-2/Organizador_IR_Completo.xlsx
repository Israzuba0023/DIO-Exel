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Dados do Titular" sheetId="2" state="visible" r:id="rId4"/>
    <sheet name="Dependentes" sheetId="3" state="visible" r:id="rId5"/>
    <sheet name="Informes de Rendimentos" sheetId="4" state="visible" r:id="rId6"/>
    <sheet name="Despesas Dedutíveis" sheetId="5" state="visible" r:id="rId7"/>
    <sheet name="Bens e Direitos" sheetId="6" state="visible" r:id="rId8"/>
    <sheet name="Resumo Gera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<sst xmlns="http://schemas.openxmlformats.org/spreadsheetml/2006/main" count="179" uniqueCount="154">
  <si>
    <t xml:space="preserve">ORGANIZADOR DE DECLARAÇÃO DE IMPOSTO DE RENDA</t>
  </si>
  <si>
    <t xml:space="preserve">Bem-vindo! Navegue pelas abas para organizar seus dados fiscais</t>
  </si>
  <si>
    <t xml:space="preserve">1. Dados do Titular</t>
  </si>
  <si>
    <t xml:space="preserve">2. Dependentes</t>
  </si>
  <si>
    <t xml:space="preserve">3. Informes de Rendimentos</t>
  </si>
  <si>
    <t xml:space="preserve">4. Despesas Dedutíveis</t>
  </si>
  <si>
    <t xml:space="preserve">5. Bens e Direitos</t>
  </si>
  <si>
    <t xml:space="preserve">6. Resumo Geral</t>
  </si>
  <si>
    <t xml:space="preserve">Ano Base: 2025 | Exercício: 2026
Mantenha seus documentos organizados para facilitar o preenchimento</t>
  </si>
  <si>
    <t xml:space="preserve">DADOS DO TITULAR</t>
  </si>
  <si>
    <t xml:space="preserve">IDENTIFICAÇÃO</t>
  </si>
  <si>
    <t xml:space="preserve">Nome Completo:</t>
  </si>
  <si>
    <t xml:space="preserve">João Silva Santos</t>
  </si>
  <si>
    <t xml:space="preserve">CPF:</t>
  </si>
  <si>
    <t xml:space="preserve">123.456.789-00</t>
  </si>
  <si>
    <t xml:space="preserve">Data de Nascimento:</t>
  </si>
  <si>
    <t xml:space="preserve">15/03/1985</t>
  </si>
  <si>
    <t xml:space="preserve">Sexo:</t>
  </si>
  <si>
    <t xml:space="preserve">Masculino</t>
  </si>
  <si>
    <t xml:space="preserve">Estado Civil:</t>
  </si>
  <si>
    <t xml:space="preserve">Casado(a)</t>
  </si>
  <si>
    <t xml:space="preserve">Ocupação Principal:</t>
  </si>
  <si>
    <t xml:space="preserve">Engenheiro de Software</t>
  </si>
  <si>
    <t xml:space="preserve">ENDEREÇO</t>
  </si>
  <si>
    <t xml:space="preserve">CEP:</t>
  </si>
  <si>
    <t xml:space="preserve">01310-100</t>
  </si>
  <si>
    <t xml:space="preserve">Logradouro:</t>
  </si>
  <si>
    <t xml:space="preserve">Avenida Paulista</t>
  </si>
  <si>
    <t xml:space="preserve">Número:</t>
  </si>
  <si>
    <t xml:space="preserve">1578</t>
  </si>
  <si>
    <t xml:space="preserve">Complemento:</t>
  </si>
  <si>
    <t xml:space="preserve">Apto 1204</t>
  </si>
  <si>
    <t xml:space="preserve">Bairro:</t>
  </si>
  <si>
    <t xml:space="preserve">Bela Vista</t>
  </si>
  <si>
    <t xml:space="preserve">Cidade:</t>
  </si>
  <si>
    <t xml:space="preserve">São Paulo</t>
  </si>
  <si>
    <t xml:space="preserve">Estado:</t>
  </si>
  <si>
    <t xml:space="preserve">SP</t>
  </si>
  <si>
    <t xml:space="preserve">CONTATO</t>
  </si>
  <si>
    <t xml:space="preserve">Telefone:</t>
  </si>
  <si>
    <t xml:space="preserve">(11) 3456-7890</t>
  </si>
  <si>
    <t xml:space="preserve">Celular:</t>
  </si>
  <si>
    <t xml:space="preserve">(11) 98765-4321</t>
  </si>
  <si>
    <t xml:space="preserve">E-mail:</t>
  </si>
  <si>
    <t xml:space="preserve">joao.silva@email.com</t>
  </si>
  <si>
    <t xml:space="preserve">DEPENDENTES</t>
  </si>
  <si>
    <t xml:space="preserve">Nº</t>
  </si>
  <si>
    <t xml:space="preserve">Nome Completo</t>
  </si>
  <si>
    <t xml:space="preserve">CPF</t>
  </si>
  <si>
    <t xml:space="preserve">Data Nascimento</t>
  </si>
  <si>
    <t xml:space="preserve">Parentesco</t>
  </si>
  <si>
    <t xml:space="preserve">Reside com titular?</t>
  </si>
  <si>
    <t xml:space="preserve">Maria Santos Silva</t>
  </si>
  <si>
    <t xml:space="preserve">987.654.321-00</t>
  </si>
  <si>
    <t xml:space="preserve">12/08/1987</t>
  </si>
  <si>
    <t xml:space="preserve">Cônjuge</t>
  </si>
  <si>
    <t xml:space="preserve">Sim</t>
  </si>
  <si>
    <t xml:space="preserve">Pedro Silva Santos</t>
  </si>
  <si>
    <t xml:space="preserve">111.222.333-44</t>
  </si>
  <si>
    <t xml:space="preserve">20/05/2010</t>
  </si>
  <si>
    <t xml:space="preserve">Filho(a)</t>
  </si>
  <si>
    <t xml:space="preserve">Ana Silva Santos</t>
  </si>
  <si>
    <t xml:space="preserve">555.666.777-88</t>
  </si>
  <si>
    <t xml:space="preserve">15/09/2015</t>
  </si>
  <si>
    <t xml:space="preserve">INFORMES DE RENDIMENTOS</t>
  </si>
  <si>
    <t xml:space="preserve">Fonte Pagadora</t>
  </si>
  <si>
    <t xml:space="preserve">CNPJ</t>
  </si>
  <si>
    <t xml:space="preserve">Rendimentos Tributáveis</t>
  </si>
  <si>
    <t xml:space="preserve">Contrib. Prev. Oficial</t>
  </si>
  <si>
    <t xml:space="preserve">IR Retido</t>
  </si>
  <si>
    <t xml:space="preserve">Décimo Terceiro</t>
  </si>
  <si>
    <t xml:space="preserve">Outros Rendimentos</t>
  </si>
  <si>
    <t xml:space="preserve">Tech Solutions Ltda</t>
  </si>
  <si>
    <t xml:space="preserve">12.345.678/0001-90</t>
  </si>
  <si>
    <t xml:space="preserve">Consultoria ABC S.A.</t>
  </si>
  <si>
    <t xml:space="preserve">98.765.432/0001-11</t>
  </si>
  <si>
    <t xml:space="preserve">Banco XYZ</t>
  </si>
  <si>
    <t xml:space="preserve">11.222.333/0001-44</t>
  </si>
  <si>
    <t xml:space="preserve">TOTAIS:</t>
  </si>
  <si>
    <t xml:space="preserve">DESPESAS DEDUTÍVEIS</t>
  </si>
  <si>
    <t xml:space="preserve">DESPESAS MÉDICAS E DE SAÚDE</t>
  </si>
  <si>
    <t xml:space="preserve">Tipo</t>
  </si>
  <si>
    <t xml:space="preserve">Beneficiário</t>
  </si>
  <si>
    <t xml:space="preserve">Prestador/Clínica</t>
  </si>
  <si>
    <t xml:space="preserve">Valor (R$)</t>
  </si>
  <si>
    <t xml:space="preserve">Observação</t>
  </si>
  <si>
    <t xml:space="preserve">Plano de Saúde</t>
  </si>
  <si>
    <t xml:space="preserve">Unimed São Paulo</t>
  </si>
  <si>
    <t xml:space="preserve">Anual</t>
  </si>
  <si>
    <t xml:space="preserve">Cônjuge - Anual</t>
  </si>
  <si>
    <t xml:space="preserve">Dentista</t>
  </si>
  <si>
    <t xml:space="preserve">Dra. Cláudia Souza</t>
  </si>
  <si>
    <t xml:space="preserve">Tratamento ortodôntico</t>
  </si>
  <si>
    <t xml:space="preserve">Consulta</t>
  </si>
  <si>
    <t xml:space="preserve">Dr. Roberto Lima</t>
  </si>
  <si>
    <t xml:space="preserve">Pediatria</t>
  </si>
  <si>
    <t xml:space="preserve">Exame</t>
  </si>
  <si>
    <t xml:space="preserve">Laboratório Central</t>
  </si>
  <si>
    <t xml:space="preserve">Check-up anual</t>
  </si>
  <si>
    <t xml:space="preserve">Subtotal Saúde:</t>
  </si>
  <si>
    <t xml:space="preserve">DESPESAS COM EDUCAÇÃO</t>
  </si>
  <si>
    <t xml:space="preserve">Instituição</t>
  </si>
  <si>
    <t xml:space="preserve">Ensino Superior</t>
  </si>
  <si>
    <t xml:space="preserve">PUC-SP</t>
  </si>
  <si>
    <t xml:space="preserve">Pós-graduação MBA</t>
  </si>
  <si>
    <t xml:space="preserve">Ensino Fundamental</t>
  </si>
  <si>
    <t xml:space="preserve">Colégio Santa Maria</t>
  </si>
  <si>
    <t xml:space="preserve">Educação Infantil</t>
  </si>
  <si>
    <t xml:space="preserve">Escola Pequeno Príncipe</t>
  </si>
  <si>
    <t xml:space="preserve">Subtotal Educação:</t>
  </si>
  <si>
    <t xml:space="preserve">OUTRAS DEDUÇÕES</t>
  </si>
  <si>
    <t xml:space="preserve">Previdência Privada (PGBL):</t>
  </si>
  <si>
    <t xml:space="preserve">Pensão Alimentícia:</t>
  </si>
  <si>
    <t xml:space="preserve">Livro Caixa (Autônomos):</t>
  </si>
  <si>
    <t xml:space="preserve">TOTAL DE DEDUÇÕES:</t>
  </si>
  <si>
    <t xml:space="preserve">BENS E DIREITOS</t>
  </si>
  <si>
    <t xml:space="preserve">Código</t>
  </si>
  <si>
    <t xml:space="preserve">Discriminação</t>
  </si>
  <si>
    <t xml:space="preserve">Localização</t>
  </si>
  <si>
    <t xml:space="preserve">Situação em 31/12/2024</t>
  </si>
  <si>
    <t xml:space="preserve">Situação em 31/12/2025</t>
  </si>
  <si>
    <t xml:space="preserve">11</t>
  </si>
  <si>
    <t xml:space="preserve">Apartamento</t>
  </si>
  <si>
    <t xml:space="preserve">Av. Paulista, 1578 - São Paulo/SP</t>
  </si>
  <si>
    <t xml:space="preserve">Residência principal</t>
  </si>
  <si>
    <t xml:space="preserve">21</t>
  </si>
  <si>
    <t xml:space="preserve">Veículo - Honda Civic 2020</t>
  </si>
  <si>
    <t xml:space="preserve">São Paulo/SP</t>
  </si>
  <si>
    <t xml:space="preserve">Placa ABC-1234</t>
  </si>
  <si>
    <t xml:space="preserve">41</t>
  </si>
  <si>
    <t xml:space="preserve">Conta Corrente - Banco do Brasil</t>
  </si>
  <si>
    <t xml:space="preserve">Agência 1234-5</t>
  </si>
  <si>
    <t xml:space="preserve">Conta principal</t>
  </si>
  <si>
    <t xml:space="preserve">45</t>
  </si>
  <si>
    <t xml:space="preserve">Poupança - Caixa Econômica</t>
  </si>
  <si>
    <t xml:space="preserve">Agência 0987-6</t>
  </si>
  <si>
    <t xml:space="preserve">Reserva emergencial</t>
  </si>
  <si>
    <t xml:space="preserve">73</t>
  </si>
  <si>
    <t xml:space="preserve">Fundo de Investimento</t>
  </si>
  <si>
    <t xml:space="preserve">XP Investimentos</t>
  </si>
  <si>
    <t xml:space="preserve">Renda Fixa</t>
  </si>
  <si>
    <t xml:space="preserve">RESUMO GERAL DA DECLARAÇÃO</t>
  </si>
  <si>
    <t xml:space="preserve">RENDIMENTOS</t>
  </si>
  <si>
    <t xml:space="preserve">Total de Rendimentos Tributáveis:</t>
  </si>
  <si>
    <t xml:space="preserve">Total de IR Retido na Fonte:</t>
  </si>
  <si>
    <t xml:space="preserve">Contribuição Previdenciária:</t>
  </si>
  <si>
    <t xml:space="preserve">DEDUÇÕES</t>
  </si>
  <si>
    <t xml:space="preserve">Total de Deduções:</t>
  </si>
  <si>
    <t xml:space="preserve">PATRIMÔNIO</t>
  </si>
  <si>
    <t xml:space="preserve">Total de Bens e Direitos (2024):</t>
  </si>
  <si>
    <t xml:space="preserve">Total de Bens e Direitos (2025):</t>
  </si>
  <si>
    <t xml:space="preserve">CÁLCULO SIMPLIFICADO (ESTIMATIVA)</t>
  </si>
  <si>
    <t xml:space="preserve">Base de Cálculo:</t>
  </si>
  <si>
    <t xml:space="preserve">💡 Este organizador facilita a coleta e organização dos dados.
Consulte um contador para preenchimento oficial na Receita Federal.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</si>
</sst>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10"/>
      <color rgb="FF1F4E78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366092"/>
        <bgColor rgb="FF1F4E78"/>
      </patternFill>
    </fill>
    <fill>
      <patternFill patternType="solid">
        <fgColor rgb="FF4472C4"/>
        <bgColor rgb="FF366092"/>
      </patternFill>
    </fill>
    <fill>
      <patternFill patternType="solid">
        <fgColor rgb="FF5B9BD5"/>
        <bgColor rgb="FF4472C4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1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7030A0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C55A11"/>
      <rgbColor rgb="FF366092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7" min="2" style="1" width="15"/>
  </cols>
  <sheetData>
    <row r="2" customFormat="false" ht="30" hidden="false" customHeight="true" outlineLevel="0" collapsed="false">
      <c r="B2" s="2" t="s">
        <v>0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3" t="s">
        <v>1</v>
      </c>
      <c r="C4" s="3"/>
      <c r="D4" s="3"/>
      <c r="E4" s="3"/>
      <c r="F4" s="3"/>
      <c r="G4" s="3"/>
    </row>
    <row r="6" customFormat="false" ht="24.75" hidden="false" customHeight="true" outlineLevel="0" collapsed="false">
      <c r="B6" s="4" t="s">
        <v>2</v>
      </c>
      <c r="C6" s="4"/>
      <c r="D6" s="4"/>
      <c r="E6" s="4"/>
      <c r="F6" s="4"/>
      <c r="G6" s="4"/>
    </row>
    <row r="8" customFormat="false" ht="24.75" hidden="false" customHeight="true" outlineLevel="0" collapsed="false">
      <c r="B8" s="5" t="s">
        <v>3</v>
      </c>
      <c r="C8" s="5"/>
      <c r="D8" s="5"/>
      <c r="E8" s="5"/>
      <c r="F8" s="5"/>
      <c r="G8" s="5"/>
    </row>
    <row r="10" customFormat="false" ht="24.75" hidden="false" customHeight="true" outlineLevel="0" collapsed="false">
      <c r="B10" s="6" t="s">
        <v>4</v>
      </c>
      <c r="C10" s="6"/>
      <c r="D10" s="6"/>
      <c r="E10" s="6"/>
      <c r="F10" s="6"/>
      <c r="G10" s="6"/>
    </row>
    <row r="12" customFormat="false" ht="24.75" hidden="false" customHeight="true" outlineLevel="0" collapsed="false">
      <c r="B12" s="7" t="s">
        <v>5</v>
      </c>
      <c r="C12" s="7"/>
      <c r="D12" s="7"/>
      <c r="E12" s="7"/>
      <c r="F12" s="7"/>
      <c r="G12" s="7"/>
    </row>
    <row r="14" customFormat="false" ht="24.75" hidden="false" customHeight="true" outlineLevel="0" collapsed="false">
      <c r="B14" s="8" t="s">
        <v>6</v>
      </c>
      <c r="C14" s="8"/>
      <c r="D14" s="8"/>
      <c r="E14" s="8"/>
      <c r="F14" s="8"/>
      <c r="G14" s="8"/>
    </row>
    <row r="16" customFormat="false" ht="24.75" hidden="false" customHeight="true" outlineLevel="0" collapsed="false">
      <c r="B16" s="9" t="s">
        <v>7</v>
      </c>
      <c r="C16" s="9"/>
      <c r="D16" s="9"/>
      <c r="E16" s="9"/>
      <c r="F16" s="9"/>
      <c r="G16" s="9"/>
    </row>
    <row r="20" customFormat="false" ht="15" hidden="false" customHeight="true" outlineLevel="0" collapsed="false">
      <c r="B20" s="10" t="s">
        <v>8</v>
      </c>
      <c r="C20" s="10"/>
      <c r="D20" s="10"/>
      <c r="E20" s="10"/>
      <c r="F20" s="10"/>
      <c r="G20" s="10"/>
    </row>
    <row r="21" customFormat="false" ht="15" hidden="false" customHeight="false" outlineLevel="0" collapsed="false">
      <c r="B21" s="10"/>
      <c r="C21" s="10"/>
      <c r="D21" s="10"/>
      <c r="E21" s="10"/>
      <c r="F21" s="10"/>
      <c r="G21" s="10"/>
    </row>
  </sheetData>
  <mergeCells count="9">
    <mergeCell ref="B2:G2"/>
    <mergeCell ref="B4:G4"/>
    <mergeCell ref="B6:G6"/>
    <mergeCell ref="B8:G8"/>
    <mergeCell ref="B10:G10"/>
    <mergeCell ref="B12:G12"/>
    <mergeCell ref="B14:G14"/>
    <mergeCell ref="B16:G16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2" min="2" style="1" width="20"/>
    <col collapsed="false" customWidth="true" hidden="false" outlineLevel="0" max="3" min="3" style="1" width="3"/>
    <col collapsed="false" customWidth="true" hidden="false" outlineLevel="0" max="4" min="4" style="1" width="30"/>
    <col collapsed="false" customWidth="true" hidden="false" outlineLevel="0" max="5" min="5" style="1" width="3"/>
    <col collapsed="false" customWidth="true" hidden="false" outlineLevel="0" max="6" min="6" style="1" width="20"/>
  </cols>
  <sheetData>
    <row r="2" customFormat="false" ht="24.75" hidden="false" customHeight="true" outlineLevel="0" collapsed="false">
      <c r="B2" s="11" t="s">
        <v>9</v>
      </c>
      <c r="C2" s="11"/>
      <c r="D2" s="11"/>
      <c r="E2" s="11"/>
      <c r="F2" s="11"/>
    </row>
    <row r="4" customFormat="false" ht="15" hidden="false" customHeight="false" outlineLevel="0" collapsed="false">
      <c r="B4" s="12" t="s">
        <v>10</v>
      </c>
      <c r="C4" s="12"/>
      <c r="D4" s="12"/>
      <c r="E4" s="12"/>
      <c r="F4" s="12"/>
    </row>
    <row r="5" customFormat="false" ht="15" hidden="false" customHeight="false" outlineLevel="0" collapsed="false">
      <c r="B5" s="13" t="s">
        <v>11</v>
      </c>
      <c r="D5" s="14" t="s">
        <v>12</v>
      </c>
    </row>
    <row r="6" customFormat="false" ht="15" hidden="false" customHeight="false" outlineLevel="0" collapsed="false">
      <c r="B6" s="13" t="s">
        <v>13</v>
      </c>
      <c r="D6" s="14" t="s">
        <v>14</v>
      </c>
    </row>
    <row r="7" customFormat="false" ht="15" hidden="false" customHeight="false" outlineLevel="0" collapsed="false">
      <c r="B7" s="13" t="s">
        <v>15</v>
      </c>
      <c r="D7" s="14" t="s">
        <v>16</v>
      </c>
    </row>
    <row r="8" customFormat="false" ht="15" hidden="false" customHeight="false" outlineLevel="0" collapsed="false">
      <c r="B8" s="13" t="s">
        <v>17</v>
      </c>
      <c r="D8" s="14" t="s">
        <v>18</v>
      </c>
    </row>
    <row r="9" customFormat="false" ht="15" hidden="false" customHeight="false" outlineLevel="0" collapsed="false">
      <c r="B9" s="13" t="s">
        <v>19</v>
      </c>
      <c r="D9" s="14" t="s">
        <v>20</v>
      </c>
    </row>
    <row r="10" customFormat="false" ht="15" hidden="false" customHeight="false" outlineLevel="0" collapsed="false">
      <c r="B10" s="13" t="s">
        <v>21</v>
      </c>
      <c r="D10" s="14" t="s">
        <v>22</v>
      </c>
    </row>
    <row r="12" customFormat="false" ht="15" hidden="false" customHeight="false" outlineLevel="0" collapsed="false">
      <c r="B12" s="12" t="s">
        <v>23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24</v>
      </c>
      <c r="D13" s="14" t="s">
        <v>25</v>
      </c>
    </row>
    <row r="14" customFormat="false" ht="15" hidden="false" customHeight="false" outlineLevel="0" collapsed="false">
      <c r="B14" s="13" t="s">
        <v>26</v>
      </c>
      <c r="D14" s="14" t="s">
        <v>27</v>
      </c>
    </row>
    <row r="15" customFormat="false" ht="15" hidden="false" customHeight="false" outlineLevel="0" collapsed="false">
      <c r="B15" s="13" t="s">
        <v>28</v>
      </c>
      <c r="D15" s="14" t="s">
        <v>29</v>
      </c>
    </row>
    <row r="16" customFormat="false" ht="15" hidden="false" customHeight="false" outlineLevel="0" collapsed="false">
      <c r="B16" s="13" t="s">
        <v>30</v>
      </c>
      <c r="D16" s="14" t="s">
        <v>31</v>
      </c>
    </row>
    <row r="17" customFormat="false" ht="15" hidden="false" customHeight="false" outlineLevel="0" collapsed="false">
      <c r="B17" s="13" t="s">
        <v>32</v>
      </c>
      <c r="D17" s="14" t="s">
        <v>33</v>
      </c>
    </row>
    <row r="18" customFormat="false" ht="15" hidden="false" customHeight="false" outlineLevel="0" collapsed="false">
      <c r="B18" s="13" t="s">
        <v>34</v>
      </c>
      <c r="D18" s="14" t="s">
        <v>35</v>
      </c>
    </row>
    <row r="19" customFormat="false" ht="15" hidden="false" customHeight="false" outlineLevel="0" collapsed="false">
      <c r="B19" s="13" t="s">
        <v>36</v>
      </c>
      <c r="D19" s="14" t="s">
        <v>37</v>
      </c>
    </row>
    <row r="21" customFormat="false" ht="15" hidden="false" customHeight="false" outlineLevel="0" collapsed="false">
      <c r="B21" s="12" t="s">
        <v>38</v>
      </c>
      <c r="C21" s="12"/>
      <c r="D21" s="12"/>
      <c r="E21" s="12"/>
      <c r="F21" s="12"/>
    </row>
    <row r="22" customFormat="false" ht="15" hidden="false" customHeight="false" outlineLevel="0" collapsed="false">
      <c r="B22" s="13" t="s">
        <v>39</v>
      </c>
      <c r="D22" s="14" t="s">
        <v>40</v>
      </c>
    </row>
    <row r="23" customFormat="false" ht="15" hidden="false" customHeight="false" outlineLevel="0" collapsed="false">
      <c r="B23" s="13" t="s">
        <v>41</v>
      </c>
      <c r="D23" s="14" t="s">
        <v>42</v>
      </c>
    </row>
    <row r="24" customFormat="false" ht="15" hidden="false" customHeight="false" outlineLevel="0" collapsed="false">
      <c r="B24" s="13" t="s">
        <v>43</v>
      </c>
      <c r="D24" s="14" t="s">
        <v>44</v>
      </c>
    </row>
  </sheetData>
  <mergeCells count="4">
    <mergeCell ref="B2:F2"/>
    <mergeCell ref="B4:F4"/>
    <mergeCell ref="B12:F12"/>
    <mergeCell ref="B21:F21"/>
  </mergeCells>
  <dataValidations count="3">
    <dataValidation allowBlank="false" errorStyle="stop" operator="between" showDropDown="false" showErrorMessage="false" showInputMessage="false" sqref="D8" type="list">
      <formula1>"Masculino,Feminino"</formula1>
      <formula2>0</formula2>
    </dataValidation>
    <dataValidation allowBlank="false" errorStyle="stop" operator="between" showDropDown="false" showErrorMessage="false" showInputMessage="false" sqref="D9" type="list">
      <formula1>"Solteiro(a),Casado(a),Divorciado(a),Viúvo(a),Separado(a)"</formula1>
      <formula2>0</formula2>
    </dataValidation>
    <dataValidation allowBlank="false" errorStyle="stop" operator="between" showDropDown="false" showErrorMessage="false" showInputMessage="false" sqref="D19" type="list">
      <formula1>"AC,AL,AP,AM,BA,CE,DF,ES,GO,MA,MT,MS,MG,PA,PB,PR,PE,PI,RJ,RN,RS,RO,RR,SC,SP,SE,TO"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25"/>
    <col collapsed="false" customWidth="true" hidden="false" outlineLevel="0" max="6" min="4" style="1" width="15"/>
    <col collapsed="false" customWidth="true" hidden="false" outlineLevel="0" max="7" min="7" style="1" width="18"/>
  </cols>
  <sheetData>
    <row r="2" customFormat="false" ht="24.75" hidden="false" customHeight="true" outlineLevel="0" collapsed="false">
      <c r="B2" s="11" t="s">
        <v>45</v>
      </c>
      <c r="C2" s="11"/>
      <c r="D2" s="11"/>
      <c r="E2" s="11"/>
      <c r="F2" s="11"/>
      <c r="G2" s="11"/>
      <c r="H2" s="11"/>
    </row>
    <row r="4" customFormat="false" ht="34.3" hidden="false" customHeight="false" outlineLevel="0" collapsed="false">
      <c r="B4" s="15" t="s">
        <v>46</v>
      </c>
      <c r="C4" s="15" t="s">
        <v>47</v>
      </c>
      <c r="D4" s="15" t="s">
        <v>48</v>
      </c>
      <c r="E4" s="15" t="s">
        <v>49</v>
      </c>
      <c r="F4" s="15" t="s">
        <v>50</v>
      </c>
      <c r="G4" s="15" t="s">
        <v>51</v>
      </c>
    </row>
    <row r="5" customFormat="false" ht="15" hidden="false" customHeight="false" outlineLevel="0" collapsed="false">
      <c r="B5" s="16" t="n">
        <v>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</row>
    <row r="6" customFormat="false" ht="15" hidden="false" customHeight="false" outlineLevel="0" collapsed="false">
      <c r="B6" s="16" t="n">
        <v>2</v>
      </c>
      <c r="C6" s="14" t="s">
        <v>57</v>
      </c>
      <c r="D6" s="14" t="s">
        <v>58</v>
      </c>
      <c r="E6" s="14" t="s">
        <v>59</v>
      </c>
      <c r="F6" s="14" t="s">
        <v>60</v>
      </c>
      <c r="G6" s="14" t="s">
        <v>56</v>
      </c>
    </row>
    <row r="7" customFormat="false" ht="15" hidden="false" customHeight="false" outlineLevel="0" collapsed="false">
      <c r="B7" s="16" t="n">
        <v>3</v>
      </c>
      <c r="C7" s="14" t="s">
        <v>61</v>
      </c>
      <c r="D7" s="14" t="s">
        <v>62</v>
      </c>
      <c r="E7" s="14" t="s">
        <v>63</v>
      </c>
      <c r="F7" s="14" t="s">
        <v>60</v>
      </c>
      <c r="G7" s="14" t="s">
        <v>56</v>
      </c>
    </row>
    <row r="8" customFormat="false" ht="15" hidden="false" customHeight="false" outlineLevel="0" collapsed="false">
      <c r="B8" s="16" t="n">
        <v>4</v>
      </c>
      <c r="C8" s="14"/>
      <c r="D8" s="14"/>
      <c r="E8" s="14"/>
      <c r="F8" s="14"/>
      <c r="G8" s="14"/>
    </row>
    <row r="9" customFormat="false" ht="15" hidden="false" customHeight="false" outlineLevel="0" collapsed="false">
      <c r="B9" s="16" t="n">
        <v>5</v>
      </c>
      <c r="C9" s="14"/>
      <c r="D9" s="14"/>
      <c r="E9" s="14"/>
      <c r="F9" s="14"/>
      <c r="G9" s="14"/>
    </row>
    <row r="10" customFormat="false" ht="15" hidden="false" customHeight="false" outlineLevel="0" collapsed="false">
      <c r="B10" s="16" t="n">
        <v>6</v>
      </c>
      <c r="C10" s="14"/>
      <c r="D10" s="14"/>
      <c r="E10" s="14"/>
      <c r="F10" s="14"/>
      <c r="G10" s="14"/>
    </row>
    <row r="11" customFormat="false" ht="15" hidden="false" customHeight="false" outlineLevel="0" collapsed="false">
      <c r="B11" s="16" t="n">
        <v>7</v>
      </c>
      <c r="C11" s="14"/>
      <c r="D11" s="14"/>
      <c r="E11" s="14"/>
      <c r="F11" s="14"/>
      <c r="G11" s="14"/>
    </row>
    <row r="12" customFormat="false" ht="15" hidden="false" customHeight="false" outlineLevel="0" collapsed="false">
      <c r="B12" s="16" t="n">
        <v>8</v>
      </c>
      <c r="C12" s="14"/>
      <c r="D12" s="14"/>
      <c r="E12" s="14"/>
      <c r="F12" s="14"/>
      <c r="G12" s="14"/>
    </row>
    <row r="13" customFormat="false" ht="15" hidden="false" customHeight="false" outlineLevel="0" collapsed="false">
      <c r="B13" s="16" t="n">
        <v>9</v>
      </c>
      <c r="C13" s="14"/>
      <c r="D13" s="14"/>
      <c r="E13" s="14"/>
      <c r="F13" s="14"/>
      <c r="G13" s="14"/>
    </row>
    <row r="14" customFormat="false" ht="15" hidden="false" customHeight="false" outlineLevel="0" collapsed="false">
      <c r="B14" s="16" t="n">
        <v>10</v>
      </c>
      <c r="C14" s="14"/>
      <c r="D14" s="14"/>
      <c r="E14" s="14"/>
      <c r="F14" s="14"/>
      <c r="G14" s="14"/>
    </row>
  </sheetData>
  <mergeCells count="1">
    <mergeCell ref="B2:H2"/>
  </mergeCells>
  <dataValidations count="2">
    <dataValidation allowBlank="true" errorStyle="stop" operator="between" showDropDown="false" showErrorMessage="false" showInputMessage="false" sqref="F5:F14" type="list">
      <formula1>"Filho(a),Cônjuge,Pai/Mãe,Irmão/Irmã,Enteado(a),Neto(a),Outro"</formula1>
      <formula2>0</formula2>
    </dataValidation>
    <dataValidation allowBlank="true" errorStyle="stop" operator="between" showDropDown="false" showErrorMessage="false" showInputMessage="false" sqref="G5:G14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30"/>
    <col collapsed="false" customWidth="true" hidden="false" outlineLevel="0" max="7" min="4" style="1" width="18"/>
    <col collapsed="false" customWidth="true" hidden="false" outlineLevel="0" max="8" min="8" style="1" width="15"/>
    <col collapsed="false" customWidth="true" hidden="false" outlineLevel="0" max="9" min="9" style="1" width="18"/>
  </cols>
  <sheetData>
    <row r="2" customFormat="false" ht="24.75" hidden="false" customHeight="true" outlineLevel="0" collapsed="false">
      <c r="B2" s="11" t="s">
        <v>64</v>
      </c>
      <c r="C2" s="11"/>
      <c r="D2" s="11"/>
      <c r="E2" s="11"/>
      <c r="F2" s="11"/>
      <c r="G2" s="11"/>
      <c r="H2" s="11"/>
      <c r="I2" s="11"/>
    </row>
    <row r="4" customFormat="false" ht="34.3" hidden="false" customHeight="false" outlineLevel="0" collapsed="false">
      <c r="B4" s="15" t="s">
        <v>46</v>
      </c>
      <c r="C4" s="15" t="s">
        <v>65</v>
      </c>
      <c r="D4" s="15" t="s">
        <v>66</v>
      </c>
      <c r="E4" s="15" t="s">
        <v>67</v>
      </c>
      <c r="F4" s="15" t="s">
        <v>68</v>
      </c>
      <c r="G4" s="15" t="s">
        <v>69</v>
      </c>
      <c r="H4" s="15" t="s">
        <v>70</v>
      </c>
      <c r="I4" s="15" t="s">
        <v>71</v>
      </c>
    </row>
    <row r="5" customFormat="false" ht="15" hidden="false" customHeight="false" outlineLevel="0" collapsed="false">
      <c r="B5" s="16" t="n">
        <v>1</v>
      </c>
      <c r="C5" s="17" t="s">
        <v>72</v>
      </c>
      <c r="D5" s="17" t="s">
        <v>73</v>
      </c>
      <c r="E5" s="18" t="n">
        <v>120000</v>
      </c>
      <c r="F5" s="18" t="n">
        <v>13200</v>
      </c>
      <c r="G5" s="18" t="n">
        <v>18500</v>
      </c>
      <c r="H5" s="18" t="n">
        <v>10000</v>
      </c>
      <c r="I5" s="18" t="n">
        <v>0</v>
      </c>
    </row>
    <row r="6" customFormat="false" ht="15" hidden="false" customHeight="false" outlineLevel="0" collapsed="false">
      <c r="B6" s="16" t="n">
        <v>2</v>
      </c>
      <c r="C6" s="17" t="s">
        <v>74</v>
      </c>
      <c r="D6" s="17" t="s">
        <v>75</v>
      </c>
      <c r="E6" s="18" t="n">
        <v>45000</v>
      </c>
      <c r="F6" s="18" t="n">
        <v>4950</v>
      </c>
      <c r="G6" s="18" t="n">
        <v>5200</v>
      </c>
      <c r="H6" s="18" t="n">
        <v>3750</v>
      </c>
      <c r="I6" s="18" t="n">
        <v>0</v>
      </c>
    </row>
    <row r="7" customFormat="false" ht="15" hidden="false" customHeight="false" outlineLevel="0" collapsed="false">
      <c r="B7" s="16" t="n">
        <v>3</v>
      </c>
      <c r="C7" s="17" t="s">
        <v>76</v>
      </c>
      <c r="D7" s="17" t="s">
        <v>77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2500</v>
      </c>
    </row>
    <row r="8" customFormat="false" ht="15" hidden="false" customHeight="false" outlineLevel="0" collapsed="false">
      <c r="B8" s="16" t="n">
        <v>4</v>
      </c>
      <c r="C8" s="17"/>
      <c r="D8" s="17"/>
      <c r="E8" s="18"/>
      <c r="F8" s="18"/>
      <c r="G8" s="18"/>
      <c r="H8" s="18"/>
      <c r="I8" s="18"/>
    </row>
    <row r="9" customFormat="false" ht="15" hidden="false" customHeight="false" outlineLevel="0" collapsed="false">
      <c r="B9" s="16" t="n">
        <v>5</v>
      </c>
      <c r="C9" s="17"/>
      <c r="D9" s="17"/>
      <c r="E9" s="18"/>
      <c r="F9" s="18"/>
      <c r="G9" s="18"/>
      <c r="H9" s="18"/>
      <c r="I9" s="18"/>
    </row>
    <row r="10" customFormat="false" ht="15" hidden="false" customHeight="false" outlineLevel="0" collapsed="false">
      <c r="B10" s="16" t="n">
        <v>6</v>
      </c>
      <c r="C10" s="17"/>
      <c r="D10" s="17"/>
      <c r="E10" s="18"/>
      <c r="F10" s="18"/>
      <c r="G10" s="18"/>
      <c r="H10" s="18"/>
      <c r="I10" s="18"/>
    </row>
    <row r="11" customFormat="false" ht="15" hidden="false" customHeight="false" outlineLevel="0" collapsed="false">
      <c r="B11" s="16" t="n">
        <v>7</v>
      </c>
      <c r="C11" s="17"/>
      <c r="D11" s="17"/>
      <c r="E11" s="18"/>
      <c r="F11" s="18"/>
      <c r="G11" s="18"/>
      <c r="H11" s="18"/>
      <c r="I11" s="18"/>
    </row>
    <row r="12" customFormat="false" ht="15" hidden="false" customHeight="false" outlineLevel="0" collapsed="false">
      <c r="B12" s="16" t="n">
        <v>8</v>
      </c>
      <c r="C12" s="17"/>
      <c r="D12" s="17"/>
      <c r="E12" s="18"/>
      <c r="F12" s="18"/>
      <c r="G12" s="18"/>
      <c r="H12" s="18"/>
      <c r="I12" s="18"/>
    </row>
    <row r="13" customFormat="false" ht="15" hidden="false" customHeight="false" outlineLevel="0" collapsed="false">
      <c r="B13" s="16" t="n">
        <v>9</v>
      </c>
      <c r="C13" s="17"/>
      <c r="D13" s="17"/>
      <c r="E13" s="18"/>
      <c r="F13" s="18"/>
      <c r="G13" s="18"/>
      <c r="H13" s="18"/>
      <c r="I13" s="18"/>
    </row>
    <row r="14" customFormat="false" ht="15" hidden="false" customHeight="false" outlineLevel="0" collapsed="false">
      <c r="B14" s="16" t="n">
        <v>10</v>
      </c>
      <c r="C14" s="17"/>
      <c r="D14" s="17"/>
      <c r="E14" s="18"/>
      <c r="F14" s="18"/>
      <c r="G14" s="18"/>
      <c r="H14" s="18"/>
      <c r="I14" s="18"/>
    </row>
    <row r="15" customFormat="false" ht="15" hidden="false" customHeight="false" outlineLevel="0" collapsed="false">
      <c r="B15" s="16" t="n">
        <v>11</v>
      </c>
      <c r="C15" s="17"/>
      <c r="D15" s="17"/>
      <c r="E15" s="18"/>
      <c r="F15" s="18"/>
      <c r="G15" s="18"/>
      <c r="H15" s="18"/>
      <c r="I15" s="18"/>
    </row>
    <row r="16" customFormat="false" ht="15" hidden="false" customHeight="false" outlineLevel="0" collapsed="false">
      <c r="B16" s="16" t="n">
        <v>12</v>
      </c>
      <c r="C16" s="17"/>
      <c r="D16" s="17"/>
      <c r="E16" s="18"/>
      <c r="F16" s="18"/>
      <c r="G16" s="18"/>
      <c r="H16" s="18"/>
      <c r="I16" s="18"/>
    </row>
    <row r="17" customFormat="false" ht="15" hidden="false" customHeight="false" outlineLevel="0" collapsed="false">
      <c r="B17" s="16" t="n">
        <v>13</v>
      </c>
      <c r="C17" s="17"/>
      <c r="D17" s="17"/>
      <c r="E17" s="18"/>
      <c r="F17" s="18"/>
      <c r="G17" s="18"/>
      <c r="H17" s="18"/>
      <c r="I17" s="18"/>
    </row>
    <row r="18" customFormat="false" ht="15" hidden="false" customHeight="false" outlineLevel="0" collapsed="false">
      <c r="B18" s="16" t="n">
        <v>14</v>
      </c>
      <c r="C18" s="17"/>
      <c r="D18" s="17"/>
      <c r="E18" s="18"/>
      <c r="F18" s="18"/>
      <c r="G18" s="18"/>
      <c r="H18" s="18"/>
      <c r="I18" s="18"/>
    </row>
    <row r="19" customFormat="false" ht="15" hidden="false" customHeight="false" outlineLevel="0" collapsed="false">
      <c r="B19" s="16" t="n">
        <v>15</v>
      </c>
      <c r="C19" s="17"/>
      <c r="D19" s="17"/>
      <c r="E19" s="18"/>
      <c r="F19" s="18"/>
      <c r="G19" s="18"/>
      <c r="H19" s="18"/>
      <c r="I19" s="18"/>
    </row>
    <row r="21" customFormat="false" ht="15" hidden="false" customHeight="false" outlineLevel="0" collapsed="false">
      <c r="D21" s="19" t="s">
        <v>78</v>
      </c>
      <c r="E21" s="20" t="n">
        <f aca="false">SUM(E5:E20)</f>
        <v>165000</v>
      </c>
      <c r="F21" s="20" t="n">
        <f aca="false">SUM(F5:F20)</f>
        <v>18150</v>
      </c>
      <c r="G21" s="20" t="n">
        <f aca="false">SUM(G5:G20)</f>
        <v>23700</v>
      </c>
      <c r="H21" s="20" t="n">
        <f aca="false">SUM(H5:H20)</f>
        <v>13750</v>
      </c>
      <c r="I21" s="20" t="n">
        <f aca="false">SUM(I5:I20)</f>
        <v>2500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2" min="2" style="1" width="5"/>
    <col collapsed="false" customWidth="true" hidden="false" outlineLevel="0" max="4" min="3" style="1" width="20"/>
    <col collapsed="false" customWidth="true" hidden="false" outlineLevel="0" max="5" min="5" style="1" width="25"/>
    <col collapsed="false" customWidth="true" hidden="false" outlineLevel="0" max="6" min="6" style="1" width="15"/>
    <col collapsed="false" customWidth="true" hidden="false" outlineLevel="0" max="7" min="7" style="1" width="25"/>
  </cols>
  <sheetData>
    <row r="2" customFormat="false" ht="24.75" hidden="false" customHeight="true" outlineLevel="0" collapsed="false">
      <c r="B2" s="11" t="s">
        <v>79</v>
      </c>
      <c r="C2" s="11"/>
      <c r="D2" s="11"/>
      <c r="E2" s="11"/>
      <c r="F2" s="11"/>
      <c r="G2" s="11"/>
    </row>
    <row r="4" customFormat="false" ht="15" hidden="false" customHeight="false" outlineLevel="0" collapsed="false">
      <c r="B4" s="12" t="s">
        <v>80</v>
      </c>
      <c r="C4" s="12"/>
      <c r="D4" s="12"/>
      <c r="E4" s="12"/>
      <c r="F4" s="12"/>
      <c r="G4" s="12"/>
    </row>
    <row r="5" customFormat="false" ht="15" hidden="false" customHeight="false" outlineLevel="0" collapsed="false">
      <c r="B5" s="21" t="s">
        <v>46</v>
      </c>
      <c r="C5" s="21" t="s">
        <v>81</v>
      </c>
      <c r="D5" s="21" t="s">
        <v>82</v>
      </c>
      <c r="E5" s="21" t="s">
        <v>83</v>
      </c>
      <c r="F5" s="21" t="s">
        <v>84</v>
      </c>
      <c r="G5" s="21" t="s">
        <v>85</v>
      </c>
    </row>
    <row r="6" customFormat="false" ht="15" hidden="false" customHeight="false" outlineLevel="0" collapsed="false">
      <c r="B6" s="16" t="n">
        <v>1</v>
      </c>
      <c r="C6" s="14" t="s">
        <v>86</v>
      </c>
      <c r="D6" s="14" t="s">
        <v>12</v>
      </c>
      <c r="E6" s="14" t="s">
        <v>87</v>
      </c>
      <c r="F6" s="18" t="n">
        <v>15600</v>
      </c>
      <c r="G6" s="14" t="s">
        <v>88</v>
      </c>
    </row>
    <row r="7" customFormat="false" ht="15" hidden="false" customHeight="false" outlineLevel="0" collapsed="false">
      <c r="B7" s="16" t="n">
        <v>2</v>
      </c>
      <c r="C7" s="14" t="s">
        <v>86</v>
      </c>
      <c r="D7" s="14" t="s">
        <v>52</v>
      </c>
      <c r="E7" s="14" t="s">
        <v>87</v>
      </c>
      <c r="F7" s="18" t="n">
        <v>15600</v>
      </c>
      <c r="G7" s="14" t="s">
        <v>89</v>
      </c>
    </row>
    <row r="8" customFormat="false" ht="15" hidden="false" customHeight="false" outlineLevel="0" collapsed="false">
      <c r="B8" s="16" t="n">
        <v>3</v>
      </c>
      <c r="C8" s="14" t="s">
        <v>90</v>
      </c>
      <c r="D8" s="14" t="s">
        <v>57</v>
      </c>
      <c r="E8" s="14" t="s">
        <v>91</v>
      </c>
      <c r="F8" s="18" t="n">
        <v>4500</v>
      </c>
      <c r="G8" s="14" t="s">
        <v>92</v>
      </c>
    </row>
    <row r="9" customFormat="false" ht="15" hidden="false" customHeight="false" outlineLevel="0" collapsed="false">
      <c r="B9" s="16" t="n">
        <v>4</v>
      </c>
      <c r="C9" s="14" t="s">
        <v>93</v>
      </c>
      <c r="D9" s="14" t="s">
        <v>61</v>
      </c>
      <c r="E9" s="14" t="s">
        <v>94</v>
      </c>
      <c r="F9" s="18" t="n">
        <v>800</v>
      </c>
      <c r="G9" s="14" t="s">
        <v>95</v>
      </c>
    </row>
    <row r="10" customFormat="false" ht="15" hidden="false" customHeight="false" outlineLevel="0" collapsed="false">
      <c r="B10" s="16" t="n">
        <v>5</v>
      </c>
      <c r="C10" s="14" t="s">
        <v>96</v>
      </c>
      <c r="D10" s="14" t="s">
        <v>12</v>
      </c>
      <c r="E10" s="14" t="s">
        <v>97</v>
      </c>
      <c r="F10" s="18" t="n">
        <v>1200</v>
      </c>
      <c r="G10" s="14" t="s">
        <v>98</v>
      </c>
    </row>
    <row r="11" customFormat="false" ht="15" hidden="false" customHeight="false" outlineLevel="0" collapsed="false">
      <c r="B11" s="16" t="n">
        <v>6</v>
      </c>
      <c r="C11" s="14"/>
      <c r="D11" s="14"/>
      <c r="E11" s="14"/>
      <c r="F11" s="18"/>
      <c r="G11" s="14"/>
    </row>
    <row r="12" customFormat="false" ht="15" hidden="false" customHeight="false" outlineLevel="0" collapsed="false">
      <c r="B12" s="16" t="n">
        <v>7</v>
      </c>
      <c r="C12" s="14"/>
      <c r="D12" s="14"/>
      <c r="E12" s="14"/>
      <c r="F12" s="18"/>
      <c r="G12" s="14"/>
    </row>
    <row r="13" customFormat="false" ht="15" hidden="false" customHeight="false" outlineLevel="0" collapsed="false">
      <c r="B13" s="16" t="n">
        <v>8</v>
      </c>
      <c r="C13" s="14"/>
      <c r="D13" s="14"/>
      <c r="E13" s="14"/>
      <c r="F13" s="18"/>
      <c r="G13" s="14"/>
    </row>
    <row r="14" customFormat="false" ht="15" hidden="false" customHeight="false" outlineLevel="0" collapsed="false">
      <c r="B14" s="16" t="n">
        <v>9</v>
      </c>
      <c r="C14" s="14"/>
      <c r="D14" s="14"/>
      <c r="E14" s="14"/>
      <c r="F14" s="18"/>
      <c r="G14" s="14"/>
    </row>
    <row r="15" customFormat="false" ht="15" hidden="false" customHeight="false" outlineLevel="0" collapsed="false">
      <c r="B15" s="16" t="n">
        <v>10</v>
      </c>
      <c r="C15" s="14"/>
      <c r="D15" s="14"/>
      <c r="E15" s="14"/>
      <c r="F15" s="18"/>
      <c r="G15" s="14"/>
    </row>
    <row r="16" customFormat="false" ht="15" hidden="false" customHeight="false" outlineLevel="0" collapsed="false">
      <c r="E16" s="19" t="s">
        <v>99</v>
      </c>
      <c r="F16" s="20" t="n">
        <f aca="false">SUM(F6:F15)</f>
        <v>37700</v>
      </c>
    </row>
    <row r="18" customFormat="false" ht="15" hidden="false" customHeight="false" outlineLevel="0" collapsed="false">
      <c r="B18" s="12" t="s">
        <v>100</v>
      </c>
      <c r="C18" s="12"/>
      <c r="D18" s="12"/>
      <c r="E18" s="12"/>
      <c r="F18" s="12"/>
      <c r="G18" s="12"/>
    </row>
    <row r="19" customFormat="false" ht="15" hidden="false" customHeight="false" outlineLevel="0" collapsed="false">
      <c r="B19" s="21" t="s">
        <v>46</v>
      </c>
      <c r="C19" s="21" t="s">
        <v>81</v>
      </c>
      <c r="D19" s="21" t="s">
        <v>82</v>
      </c>
      <c r="E19" s="21" t="s">
        <v>101</v>
      </c>
      <c r="F19" s="21" t="s">
        <v>84</v>
      </c>
      <c r="G19" s="21" t="s">
        <v>85</v>
      </c>
    </row>
    <row r="20" customFormat="false" ht="15" hidden="false" customHeight="false" outlineLevel="0" collapsed="false">
      <c r="B20" s="16" t="n">
        <v>1</v>
      </c>
      <c r="C20" s="14" t="s">
        <v>102</v>
      </c>
      <c r="D20" s="14" t="s">
        <v>12</v>
      </c>
      <c r="E20" s="14" t="s">
        <v>103</v>
      </c>
      <c r="F20" s="18" t="n">
        <v>24000</v>
      </c>
      <c r="G20" s="14" t="s">
        <v>104</v>
      </c>
    </row>
    <row r="21" customFormat="false" ht="15" hidden="false" customHeight="false" outlineLevel="0" collapsed="false">
      <c r="B21" s="16" t="n">
        <v>2</v>
      </c>
      <c r="C21" s="14" t="s">
        <v>105</v>
      </c>
      <c r="D21" s="14" t="s">
        <v>57</v>
      </c>
      <c r="E21" s="14" t="s">
        <v>106</v>
      </c>
      <c r="F21" s="18" t="n">
        <v>18000</v>
      </c>
      <c r="G21" s="14" t="s">
        <v>88</v>
      </c>
    </row>
    <row r="22" customFormat="false" ht="15" hidden="false" customHeight="false" outlineLevel="0" collapsed="false">
      <c r="B22" s="16" t="n">
        <v>3</v>
      </c>
      <c r="C22" s="14" t="s">
        <v>107</v>
      </c>
      <c r="D22" s="14" t="s">
        <v>61</v>
      </c>
      <c r="E22" s="14" t="s">
        <v>108</v>
      </c>
      <c r="F22" s="18" t="n">
        <v>12000</v>
      </c>
      <c r="G22" s="14" t="s">
        <v>88</v>
      </c>
    </row>
    <row r="23" customFormat="false" ht="15" hidden="false" customHeight="false" outlineLevel="0" collapsed="false">
      <c r="B23" s="16" t="n">
        <v>4</v>
      </c>
      <c r="C23" s="14"/>
      <c r="D23" s="14"/>
      <c r="E23" s="14"/>
      <c r="F23" s="18"/>
      <c r="G23" s="14"/>
    </row>
    <row r="24" customFormat="false" ht="15" hidden="false" customHeight="false" outlineLevel="0" collapsed="false">
      <c r="B24" s="16" t="n">
        <v>5</v>
      </c>
      <c r="C24" s="14"/>
      <c r="D24" s="14"/>
      <c r="E24" s="14"/>
      <c r="F24" s="18"/>
      <c r="G24" s="14"/>
    </row>
    <row r="25" customFormat="false" ht="15" hidden="false" customHeight="false" outlineLevel="0" collapsed="false">
      <c r="B25" s="16" t="n">
        <v>6</v>
      </c>
      <c r="C25" s="14"/>
      <c r="D25" s="14"/>
      <c r="E25" s="14"/>
      <c r="F25" s="18"/>
      <c r="G25" s="14"/>
    </row>
    <row r="26" customFormat="false" ht="15" hidden="false" customHeight="false" outlineLevel="0" collapsed="false">
      <c r="B26" s="16" t="n">
        <v>7</v>
      </c>
      <c r="C26" s="14"/>
      <c r="D26" s="14"/>
      <c r="E26" s="14"/>
      <c r="F26" s="18"/>
      <c r="G26" s="14"/>
    </row>
    <row r="27" customFormat="false" ht="15" hidden="false" customHeight="false" outlineLevel="0" collapsed="false">
      <c r="B27" s="16" t="n">
        <v>8</v>
      </c>
      <c r="C27" s="14"/>
      <c r="D27" s="14"/>
      <c r="E27" s="14"/>
      <c r="F27" s="18"/>
      <c r="G27" s="14"/>
    </row>
    <row r="28" customFormat="false" ht="15" hidden="false" customHeight="false" outlineLevel="0" collapsed="false">
      <c r="B28" s="16" t="n">
        <v>9</v>
      </c>
      <c r="C28" s="14"/>
      <c r="D28" s="14"/>
      <c r="E28" s="14"/>
      <c r="F28" s="18"/>
      <c r="G28" s="14"/>
    </row>
    <row r="29" customFormat="false" ht="15" hidden="false" customHeight="false" outlineLevel="0" collapsed="false">
      <c r="B29" s="16" t="n">
        <v>10</v>
      </c>
      <c r="C29" s="14"/>
      <c r="D29" s="14"/>
      <c r="E29" s="14"/>
      <c r="F29" s="18"/>
      <c r="G29" s="14"/>
    </row>
    <row r="30" customFormat="false" ht="15" hidden="false" customHeight="false" outlineLevel="0" collapsed="false">
      <c r="E30" s="19" t="s">
        <v>109</v>
      </c>
      <c r="F30" s="20" t="n">
        <f aca="false">SUM(F20:F29)</f>
        <v>54000</v>
      </c>
    </row>
    <row r="32" customFormat="false" ht="15" hidden="false" customHeight="false" outlineLevel="0" collapsed="false">
      <c r="B32" s="12" t="s">
        <v>110</v>
      </c>
      <c r="C32" s="12"/>
      <c r="D32" s="12"/>
      <c r="E32" s="12"/>
      <c r="F32" s="12"/>
      <c r="G32" s="12"/>
    </row>
    <row r="33" customFormat="false" ht="15" hidden="false" customHeight="false" outlineLevel="0" collapsed="false">
      <c r="B33" s="13" t="s">
        <v>111</v>
      </c>
      <c r="D33" s="18" t="n">
        <v>12000</v>
      </c>
    </row>
    <row r="34" customFormat="false" ht="15" hidden="false" customHeight="false" outlineLevel="0" collapsed="false">
      <c r="B34" s="13" t="s">
        <v>112</v>
      </c>
      <c r="D34" s="18" t="n">
        <v>0</v>
      </c>
    </row>
    <row r="35" customFormat="false" ht="15" hidden="false" customHeight="false" outlineLevel="0" collapsed="false">
      <c r="B35" s="13" t="s">
        <v>113</v>
      </c>
      <c r="D35" s="18" t="n">
        <v>8500</v>
      </c>
    </row>
    <row r="37" customFormat="false" ht="15" hidden="false" customHeight="false" outlineLevel="0" collapsed="false">
      <c r="B37" s="22" t="s">
        <v>114</v>
      </c>
      <c r="C37" s="22"/>
      <c r="D37" s="23" t="n">
        <f aca="false">F16+F30+D33+D34+D35</f>
        <v>112200</v>
      </c>
    </row>
  </sheetData>
  <mergeCells count="5">
    <mergeCell ref="B2:G2"/>
    <mergeCell ref="B4:G4"/>
    <mergeCell ref="B18:G18"/>
    <mergeCell ref="B32:G32"/>
    <mergeCell ref="B37:C37"/>
  </mergeCells>
  <dataValidations count="2">
    <dataValidation allowBlank="true" errorStyle="stop" operator="between" showDropDown="false" showErrorMessage="false" showInputMessage="false" sqref="C6:C15" type="list">
      <formula1>"Consulta,Exame,Internação,Plano de Saúde,Dentista,Psicólogo,Fisioterapia,Cirurgia,Outro"</formula1>
      <formula2>0</formula2>
    </dataValidation>
    <dataValidation allowBlank="true" errorStyle="stop" operator="between" showDropDown="false" showErrorMessage="false" showInputMessage="false" sqref="C20:C29" type="list">
      <formula1>"Educação Infantil,Ensino Fundamental,Ensino Médio,Ensino Superior,Pós-graduação,Curso Técnico,Outro"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20"/>
    <col collapsed="false" customWidth="true" hidden="false" outlineLevel="0" max="7" min="6" style="1" width="18"/>
    <col collapsed="false" customWidth="true" hidden="false" outlineLevel="0" max="8" min="8" style="1" width="25"/>
  </cols>
  <sheetData>
    <row r="2" customFormat="false" ht="24.75" hidden="false" customHeight="true" outlineLevel="0" collapsed="false">
      <c r="B2" s="11" t="s">
        <v>115</v>
      </c>
      <c r="C2" s="11"/>
      <c r="D2" s="11"/>
      <c r="E2" s="11"/>
      <c r="F2" s="11"/>
      <c r="G2" s="11"/>
      <c r="H2" s="11"/>
    </row>
    <row r="4" customFormat="false" ht="34.3" hidden="false" customHeight="false" outlineLevel="0" collapsed="false">
      <c r="B4" s="15" t="s">
        <v>46</v>
      </c>
      <c r="C4" s="15" t="s">
        <v>116</v>
      </c>
      <c r="D4" s="15" t="s">
        <v>117</v>
      </c>
      <c r="E4" s="15" t="s">
        <v>118</v>
      </c>
      <c r="F4" s="15" t="s">
        <v>119</v>
      </c>
      <c r="G4" s="15" t="s">
        <v>120</v>
      </c>
      <c r="H4" s="15" t="s">
        <v>85</v>
      </c>
    </row>
    <row r="5" customFormat="false" ht="15" hidden="false" customHeight="false" outlineLevel="0" collapsed="false">
      <c r="B5" s="16" t="n">
        <v>1</v>
      </c>
      <c r="C5" s="14" t="s">
        <v>121</v>
      </c>
      <c r="D5" s="14" t="s">
        <v>122</v>
      </c>
      <c r="E5" s="14" t="s">
        <v>123</v>
      </c>
      <c r="F5" s="18" t="n">
        <v>850000</v>
      </c>
      <c r="G5" s="18" t="n">
        <v>850000</v>
      </c>
      <c r="H5" s="14" t="s">
        <v>124</v>
      </c>
    </row>
    <row r="6" customFormat="false" ht="15" hidden="false" customHeight="false" outlineLevel="0" collapsed="false">
      <c r="B6" s="16" t="n">
        <v>2</v>
      </c>
      <c r="C6" s="14" t="s">
        <v>125</v>
      </c>
      <c r="D6" s="14" t="s">
        <v>126</v>
      </c>
      <c r="E6" s="14" t="s">
        <v>127</v>
      </c>
      <c r="F6" s="18" t="n">
        <v>95000</v>
      </c>
      <c r="G6" s="18" t="n">
        <v>85000</v>
      </c>
      <c r="H6" s="14" t="s">
        <v>128</v>
      </c>
    </row>
    <row r="7" customFormat="false" ht="15" hidden="false" customHeight="false" outlineLevel="0" collapsed="false">
      <c r="B7" s="16" t="n">
        <v>3</v>
      </c>
      <c r="C7" s="14" t="s">
        <v>129</v>
      </c>
      <c r="D7" s="14" t="s">
        <v>130</v>
      </c>
      <c r="E7" s="14" t="s">
        <v>131</v>
      </c>
      <c r="F7" s="18" t="n">
        <v>45000</v>
      </c>
      <c r="G7" s="18" t="n">
        <v>52000</v>
      </c>
      <c r="H7" s="14" t="s">
        <v>132</v>
      </c>
    </row>
    <row r="8" customFormat="false" ht="15" hidden="false" customHeight="false" outlineLevel="0" collapsed="false">
      <c r="B8" s="16" t="n">
        <v>4</v>
      </c>
      <c r="C8" s="14" t="s">
        <v>133</v>
      </c>
      <c r="D8" s="14" t="s">
        <v>134</v>
      </c>
      <c r="E8" s="14" t="s">
        <v>135</v>
      </c>
      <c r="F8" s="18" t="n">
        <v>25000</v>
      </c>
      <c r="G8" s="18" t="n">
        <v>28000</v>
      </c>
      <c r="H8" s="14" t="s">
        <v>136</v>
      </c>
    </row>
    <row r="9" customFormat="false" ht="15" hidden="false" customHeight="false" outlineLevel="0" collapsed="false">
      <c r="B9" s="16" t="n">
        <v>5</v>
      </c>
      <c r="C9" s="14" t="s">
        <v>137</v>
      </c>
      <c r="D9" s="14" t="s">
        <v>138</v>
      </c>
      <c r="E9" s="14" t="s">
        <v>139</v>
      </c>
      <c r="F9" s="18" t="n">
        <v>120000</v>
      </c>
      <c r="G9" s="18" t="n">
        <v>135000</v>
      </c>
      <c r="H9" s="14" t="s">
        <v>140</v>
      </c>
    </row>
    <row r="10" customFormat="false" ht="15" hidden="false" customHeight="false" outlineLevel="0" collapsed="false">
      <c r="B10" s="16" t="n">
        <v>6</v>
      </c>
      <c r="C10" s="14"/>
      <c r="D10" s="14"/>
      <c r="E10" s="14"/>
      <c r="F10" s="18"/>
      <c r="G10" s="18"/>
      <c r="H10" s="14"/>
    </row>
    <row r="11" customFormat="false" ht="15" hidden="false" customHeight="false" outlineLevel="0" collapsed="false">
      <c r="B11" s="16" t="n">
        <v>7</v>
      </c>
      <c r="C11" s="14"/>
      <c r="D11" s="14"/>
      <c r="E11" s="14"/>
      <c r="F11" s="18"/>
      <c r="G11" s="18"/>
      <c r="H11" s="14"/>
    </row>
    <row r="12" customFormat="false" ht="15" hidden="false" customHeight="false" outlineLevel="0" collapsed="false">
      <c r="B12" s="16" t="n">
        <v>8</v>
      </c>
      <c r="C12" s="14"/>
      <c r="D12" s="14"/>
      <c r="E12" s="14"/>
      <c r="F12" s="18"/>
      <c r="G12" s="18"/>
      <c r="H12" s="14"/>
    </row>
    <row r="13" customFormat="false" ht="15" hidden="false" customHeight="false" outlineLevel="0" collapsed="false">
      <c r="B13" s="16" t="n">
        <v>9</v>
      </c>
      <c r="C13" s="14"/>
      <c r="D13" s="14"/>
      <c r="E13" s="14"/>
      <c r="F13" s="18"/>
      <c r="G13" s="18"/>
      <c r="H13" s="14"/>
    </row>
    <row r="14" customFormat="false" ht="15" hidden="false" customHeight="false" outlineLevel="0" collapsed="false">
      <c r="B14" s="16" t="n">
        <v>10</v>
      </c>
      <c r="C14" s="14"/>
      <c r="D14" s="14"/>
      <c r="E14" s="14"/>
      <c r="F14" s="18"/>
      <c r="G14" s="18"/>
      <c r="H14" s="14"/>
    </row>
    <row r="15" customFormat="false" ht="15" hidden="false" customHeight="false" outlineLevel="0" collapsed="false">
      <c r="B15" s="16" t="n">
        <v>11</v>
      </c>
      <c r="C15" s="14"/>
      <c r="D15" s="14"/>
      <c r="E15" s="14"/>
      <c r="F15" s="18"/>
      <c r="G15" s="18"/>
      <c r="H15" s="14"/>
    </row>
    <row r="16" customFormat="false" ht="15" hidden="false" customHeight="false" outlineLevel="0" collapsed="false">
      <c r="B16" s="16" t="n">
        <v>12</v>
      </c>
      <c r="C16" s="14"/>
      <c r="D16" s="14"/>
      <c r="E16" s="14"/>
      <c r="F16" s="18"/>
      <c r="G16" s="18"/>
      <c r="H16" s="14"/>
    </row>
    <row r="17" customFormat="false" ht="15" hidden="false" customHeight="false" outlineLevel="0" collapsed="false">
      <c r="B17" s="16" t="n">
        <v>13</v>
      </c>
      <c r="C17" s="14"/>
      <c r="D17" s="14"/>
      <c r="E17" s="14"/>
      <c r="F17" s="18"/>
      <c r="G17" s="18"/>
      <c r="H17" s="14"/>
    </row>
    <row r="18" customFormat="false" ht="15" hidden="false" customHeight="false" outlineLevel="0" collapsed="false">
      <c r="B18" s="16" t="n">
        <v>14</v>
      </c>
      <c r="C18" s="14"/>
      <c r="D18" s="14"/>
      <c r="E18" s="14"/>
      <c r="F18" s="18"/>
      <c r="G18" s="18"/>
      <c r="H18" s="14"/>
    </row>
    <row r="19" customFormat="false" ht="15" hidden="false" customHeight="false" outlineLevel="0" collapsed="false">
      <c r="B19" s="16" t="n">
        <v>15</v>
      </c>
      <c r="C19" s="14"/>
      <c r="D19" s="14"/>
      <c r="E19" s="14"/>
      <c r="F19" s="18"/>
      <c r="G19" s="18"/>
      <c r="H19" s="14"/>
    </row>
    <row r="20" customFormat="false" ht="15" hidden="false" customHeight="false" outlineLevel="0" collapsed="false">
      <c r="B20" s="16" t="n">
        <v>16</v>
      </c>
      <c r="C20" s="14"/>
      <c r="D20" s="14"/>
      <c r="E20" s="14"/>
      <c r="F20" s="18"/>
      <c r="G20" s="18"/>
      <c r="H20" s="14"/>
    </row>
    <row r="21" customFormat="false" ht="15" hidden="false" customHeight="false" outlineLevel="0" collapsed="false">
      <c r="B21" s="16" t="n">
        <v>17</v>
      </c>
      <c r="C21" s="14"/>
      <c r="D21" s="14"/>
      <c r="E21" s="14"/>
      <c r="F21" s="18"/>
      <c r="G21" s="18"/>
      <c r="H21" s="14"/>
    </row>
    <row r="22" customFormat="false" ht="15" hidden="false" customHeight="false" outlineLevel="0" collapsed="false">
      <c r="B22" s="16" t="n">
        <v>18</v>
      </c>
      <c r="C22" s="14"/>
      <c r="D22" s="14"/>
      <c r="E22" s="14"/>
      <c r="F22" s="18"/>
      <c r="G22" s="18"/>
      <c r="H22" s="14"/>
    </row>
    <row r="23" customFormat="false" ht="15" hidden="false" customHeight="false" outlineLevel="0" collapsed="false">
      <c r="B23" s="16" t="n">
        <v>19</v>
      </c>
      <c r="C23" s="14"/>
      <c r="D23" s="14"/>
      <c r="E23" s="14"/>
      <c r="F23" s="18"/>
      <c r="G23" s="18"/>
      <c r="H23" s="14"/>
    </row>
    <row r="24" customFormat="false" ht="15" hidden="false" customHeight="false" outlineLevel="0" collapsed="false">
      <c r="B24" s="16" t="n">
        <v>20</v>
      </c>
      <c r="C24" s="14"/>
      <c r="D24" s="14"/>
      <c r="E24" s="14"/>
      <c r="F24" s="18"/>
      <c r="G24" s="18"/>
      <c r="H24" s="14"/>
    </row>
    <row r="25" customFormat="false" ht="15" hidden="false" customHeight="false" outlineLevel="0" collapsed="false">
      <c r="E25" s="19" t="s">
        <v>78</v>
      </c>
      <c r="F25" s="20" t="n">
        <f aca="false">SUM(F5:F24)</f>
        <v>1135000</v>
      </c>
      <c r="G25" s="20" t="n">
        <f aca="false">SUM(G5:G24)</f>
        <v>1150000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2" min="2" style="1" width="35"/>
    <col collapsed="false" customWidth="true" hidden="false" outlineLevel="0" max="3" min="3" style="1" width="3"/>
    <col collapsed="false" customWidth="true" hidden="false" outlineLevel="0" max="4" min="4" style="1" width="20"/>
    <col collapsed="false" customWidth="true" hidden="false" outlineLevel="0" max="5" min="5" style="1" width="3"/>
  </cols>
  <sheetData>
    <row r="2" customFormat="false" ht="24.75" hidden="false" customHeight="true" outlineLevel="0" collapsed="false">
      <c r="B2" s="11" t="s">
        <v>141</v>
      </c>
      <c r="C2" s="11"/>
      <c r="D2" s="11"/>
      <c r="E2" s="11"/>
    </row>
    <row r="4" customFormat="false" ht="15" hidden="false" customHeight="false" outlineLevel="0" collapsed="false">
      <c r="B4" s="12" t="s">
        <v>142</v>
      </c>
      <c r="C4" s="12"/>
      <c r="D4" s="12"/>
      <c r="E4" s="12"/>
    </row>
    <row r="5" customFormat="false" ht="15" hidden="false" customHeight="false" outlineLevel="0" collapsed="false">
      <c r="B5" s="13" t="s">
        <v>143</v>
      </c>
      <c r="D5" s="18" t="n">
        <f aca="false">'Informes de Rendimentos'!E21</f>
        <v>165000</v>
      </c>
    </row>
    <row r="6" customFormat="false" ht="15" hidden="false" customHeight="false" outlineLevel="0" collapsed="false">
      <c r="B6" s="13" t="s">
        <v>144</v>
      </c>
      <c r="D6" s="18" t="n">
        <f aca="false">'Informes de Rendimentos'!G21</f>
        <v>23700</v>
      </c>
    </row>
    <row r="7" customFormat="false" ht="15" hidden="false" customHeight="false" outlineLevel="0" collapsed="false">
      <c r="B7" s="13" t="s">
        <v>145</v>
      </c>
      <c r="D7" s="18" t="n">
        <f aca="false">'Informes de Rendimentos'!F21</f>
        <v>18150</v>
      </c>
    </row>
    <row r="9" customFormat="false" ht="15" hidden="false" customHeight="false" outlineLevel="0" collapsed="false">
      <c r="B9" s="12" t="s">
        <v>146</v>
      </c>
      <c r="C9" s="12"/>
      <c r="D9" s="12"/>
      <c r="E9" s="12"/>
    </row>
    <row r="10" customFormat="false" ht="15" hidden="false" customHeight="false" outlineLevel="0" collapsed="false">
      <c r="B10" s="13" t="s">
        <v>147</v>
      </c>
      <c r="D10" s="18" t="n">
        <f aca="false">'Despesas Dedutíveis'!D37</f>
        <v>112200</v>
      </c>
    </row>
    <row r="12" customFormat="false" ht="15" hidden="false" customHeight="false" outlineLevel="0" collapsed="false">
      <c r="B12" s="12" t="s">
        <v>148</v>
      </c>
      <c r="C12" s="12"/>
      <c r="D12" s="12"/>
      <c r="E12" s="12"/>
    </row>
    <row r="13" customFormat="false" ht="15" hidden="false" customHeight="false" outlineLevel="0" collapsed="false">
      <c r="B13" s="13" t="s">
        <v>149</v>
      </c>
      <c r="D13" s="18" t="n">
        <f aca="false">'Bens e Direitos'!F25</f>
        <v>1135000</v>
      </c>
    </row>
    <row r="14" customFormat="false" ht="15" hidden="false" customHeight="false" outlineLevel="0" collapsed="false">
      <c r="B14" s="13" t="s">
        <v>150</v>
      </c>
      <c r="D14" s="18" t="n">
        <f aca="false">'Bens e Direitos'!G25</f>
        <v>1150000</v>
      </c>
    </row>
    <row r="16" customFormat="false" ht="15" hidden="false" customHeight="false" outlineLevel="0" collapsed="false">
      <c r="B16" s="24" t="s">
        <v>151</v>
      </c>
      <c r="C16" s="24"/>
      <c r="D16" s="24"/>
      <c r="E16" s="24"/>
    </row>
    <row r="17" customFormat="false" ht="15" hidden="false" customHeight="false" outlineLevel="0" collapsed="false">
      <c r="B17" s="13" t="s">
        <v>152</v>
      </c>
      <c r="D17" s="25" t="n">
        <f aca="false">D5-D7-D10</f>
        <v>34650</v>
      </c>
    </row>
    <row r="19" customFormat="false" ht="15" hidden="false" customHeight="true" outlineLevel="0" collapsed="false">
      <c r="B19" s="10" t="s">
        <v>153</v>
      </c>
      <c r="C19" s="10"/>
      <c r="D19" s="10"/>
      <c r="E19" s="10"/>
    </row>
    <row r="20" customFormat="false" ht="15" hidden="false" customHeight="false" outlineLevel="0" collapsed="false">
      <c r="B20" s="10"/>
      <c r="C20" s="10"/>
      <c r="D20" s="10"/>
      <c r="E20" s="10"/>
    </row>
  </sheetData>
  <mergeCells count="6">
    <mergeCell ref="B2:E2"/>
    <mergeCell ref="B4:E4"/>
    <mergeCell ref="B9:E9"/>
    <mergeCell ref="B12:E12"/>
    <mergeCell ref="B16:E16"/>
    <mergeCell ref="B19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2026-02-16T01:13:50Z</dcterms:created>
  <dc:creator>openpyxl</dc:creator>
  <dc:description/>
  <dc:language>en-US</dc:language>
  <cp:lastModifiedBy/>
  <dcterms:modified xsi:type="dcterms:W3CDTF">2026-02-16T01:13:50Z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